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Assumptions" sheetId="3" state="visible" r:id="rId5"/>
  </sheets>
  <definedNames>
    <definedName function="false" hidden="true" localSheetId="1" name="_xlnm._FilterDatabase" vbProcedure="false">Data!$A$1:$Q$301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<sst xmlns="http://schemas.openxmlformats.org/spreadsheetml/2006/main" count="1330" uniqueCount="417">
  <si>
    <t xml:space="preserve">Food Delivery: KPI Dashboard</t>
  </si>
  <si>
    <t xml:space="preserve">Synthetic data, 300 orders, 14 days. Gap = result minus target. Inputs are on the Assumptions sheet.</t>
  </si>
  <si>
    <t xml:space="preserve">1. Headline KPIs</t>
  </si>
  <si>
    <t xml:space="preserve">KPI</t>
  </si>
  <si>
    <t xml:space="preserve">Dataset result</t>
  </si>
  <si>
    <t xml:space="preserve">Business case baseline</t>
  </si>
  <si>
    <t xml:space="preserve">Target</t>
  </si>
  <si>
    <t xml:space="preserve">Gap to target</t>
  </si>
  <si>
    <t xml:space="preserve">Total orders</t>
  </si>
  <si>
    <t xml:space="preserve">Delivered orders</t>
  </si>
  <si>
    <t xml:space="preserve">Cancelled orders</t>
  </si>
  <si>
    <t xml:space="preserve">Cancellation rate (G2)</t>
  </si>
  <si>
    <t xml:space="preserve">Avg delivery time, min (G1)</t>
  </si>
  <si>
    <t xml:space="preserve">Avg customer rating (G3)</t>
  </si>
  <si>
    <t xml:space="preserve">SLA breach rate (delivered orders)</t>
  </si>
  <si>
    <t xml:space="preserve">2. Peak vs off-peak</t>
  </si>
  <si>
    <t xml:space="preserve">Metric</t>
  </si>
  <si>
    <t xml:space="preserve">Peak</t>
  </si>
  <si>
    <t xml:space="preserve">Off-peak</t>
  </si>
  <si>
    <t xml:space="preserve">Difference (peak - off-peak)</t>
  </si>
  <si>
    <t xml:space="preserve">Orders</t>
  </si>
  <si>
    <t xml:space="preserve">Cancellation rate</t>
  </si>
  <si>
    <t xml:space="preserve">Avg delivery time (min)</t>
  </si>
  <si>
    <t xml:space="preserve">Avg customer rating</t>
  </si>
  <si>
    <t xml:space="preserve">SLA breach rate</t>
  </si>
  <si>
    <t xml:space="preserve">3. Average stage duration, delivered orders (min)</t>
  </si>
  <si>
    <t xml:space="preserve">Stage</t>
  </si>
  <si>
    <t xml:space="preserve">Difference</t>
  </si>
  <si>
    <t xml:space="preserve">Share of total difference</t>
  </si>
  <si>
    <t xml:space="preserve">Related bottleneck</t>
  </si>
  <si>
    <t xml:space="preserve">Confirmation</t>
  </si>
  <si>
    <t xml:space="preserve">B1: no confirmation timer</t>
  </si>
  <si>
    <t xml:space="preserve">Preparation</t>
  </si>
  <si>
    <t xml:space="preserve">Restaurant load at peak hours</t>
  </si>
  <si>
    <t xml:space="preserve">Courier assignment</t>
  </si>
  <si>
    <t xml:space="preserve">B3: manual courier assignment</t>
  </si>
  <si>
    <t xml:space="preserve">Travel to restaurant</t>
  </si>
  <si>
    <t xml:space="preserve">Traffic and distance</t>
  </si>
  <si>
    <t xml:space="preserve">Wait at restaurant</t>
  </si>
  <si>
    <t xml:space="preserve">B2: prep time not shared with couriers</t>
  </si>
  <si>
    <t xml:space="preserve">Travel to customer</t>
  </si>
  <si>
    <t xml:space="preserve">Total delivery time</t>
  </si>
  <si>
    <t xml:space="preserve">4. Cancellation reasons</t>
  </si>
  <si>
    <t xml:space="preserve">Reason</t>
  </si>
  <si>
    <t xml:space="preserve">Share</t>
  </si>
  <si>
    <t xml:space="preserve">Restaurant did not confirm</t>
  </si>
  <si>
    <t xml:space="preserve">Courier not assigned in time</t>
  </si>
  <si>
    <t xml:space="preserve">Customer cancelled: long wait</t>
  </si>
  <si>
    <t xml:space="preserve">B4: no status updates for customer</t>
  </si>
  <si>
    <t xml:space="preserve">Item unavailable</t>
  </si>
  <si>
    <t xml:space="preserve">Menu availability (US-06)</t>
  </si>
  <si>
    <t xml:space="preserve">Total</t>
  </si>
  <si>
    <t xml:space="preserve">5. Performance by order hour</t>
  </si>
  <si>
    <t xml:space="preserve">Order hour</t>
  </si>
  <si>
    <t xml:space="preserve">Cancelled</t>
  </si>
  <si>
    <t xml:space="preserve">6. Performance by district</t>
  </si>
  <si>
    <t xml:space="preserve">District</t>
  </si>
  <si>
    <t xml:space="preserve">Nasimi</t>
  </si>
  <si>
    <t xml:space="preserve">Yasamal</t>
  </si>
  <si>
    <t xml:space="preserve">Narimanov</t>
  </si>
  <si>
    <t xml:space="preserve">Sabail</t>
  </si>
  <si>
    <t xml:space="preserve">Khatai</t>
  </si>
  <si>
    <t xml:space="preserve">Nizami</t>
  </si>
  <si>
    <t xml:space="preserve">Binagadi</t>
  </si>
  <si>
    <t xml:space="preserve">Sabunchu</t>
  </si>
  <si>
    <t xml:space="preserve">Order ID</t>
  </si>
  <si>
    <t xml:space="preserve">Date</t>
  </si>
  <si>
    <t xml:space="preserve">Order Hour</t>
  </si>
  <si>
    <t xml:space="preserve">Time Band</t>
  </si>
  <si>
    <t xml:space="preserve">Status</t>
  </si>
  <si>
    <t xml:space="preserve">Cancel Reason</t>
  </si>
  <si>
    <t xml:space="preserve">Confirmation (min)</t>
  </si>
  <si>
    <t xml:space="preserve">Preparation (min)</t>
  </si>
  <si>
    <t xml:space="preserve">Courier Assignment (min)</t>
  </si>
  <si>
    <t xml:space="preserve">Travel to Restaurant (min)</t>
  </si>
  <si>
    <t xml:space="preserve">Wait at Restaurant (min)</t>
  </si>
  <si>
    <t xml:space="preserve">Travel to Customer (min)</t>
  </si>
  <si>
    <t xml:space="preserve">Total Delivery Time (min)</t>
  </si>
  <si>
    <t xml:space="preserve">Rating (1-5)</t>
  </si>
  <si>
    <t xml:space="preserve">Item Issue</t>
  </si>
  <si>
    <t xml:space="preserve">SLA Breach</t>
  </si>
  <si>
    <t xml:space="preserve">ORD-0001</t>
  </si>
  <si>
    <t xml:space="preserve">Delivered</t>
  </si>
  <si>
    <t xml:space="preserve">Missing item</t>
  </si>
  <si>
    <t xml:space="preserve">ORD-0002</t>
  </si>
  <si>
    <t xml:space="preserve">None</t>
  </si>
  <si>
    <t xml:space="preserve">ORD-0003</t>
  </si>
  <si>
    <t xml:space="preserve">Wrong item</t>
  </si>
  <si>
    <t xml:space="preserve">ORD-0004</t>
  </si>
  <si>
    <t xml:space="preserve">ORD-0005</t>
  </si>
  <si>
    <t xml:space="preserve">ORD-0006</t>
  </si>
  <si>
    <t xml:space="preserve">ORD-0007</t>
  </si>
  <si>
    <t xml:space="preserve">ORD-0008</t>
  </si>
  <si>
    <t xml:space="preserve">ORD-0009</t>
  </si>
  <si>
    <t xml:space="preserve">ORD-0010</t>
  </si>
  <si>
    <t xml:space="preserve">ORD-0011</t>
  </si>
  <si>
    <t xml:space="preserve">ORD-0012</t>
  </si>
  <si>
    <t xml:space="preserve">ORD-0013</t>
  </si>
  <si>
    <t xml:space="preserve">ORD-0014</t>
  </si>
  <si>
    <t xml:space="preserve">ORD-0015</t>
  </si>
  <si>
    <t xml:space="preserve">ORD-0016</t>
  </si>
  <si>
    <t xml:space="preserve">ORD-0017</t>
  </si>
  <si>
    <t xml:space="preserve">ORD-0018</t>
  </si>
  <si>
    <t xml:space="preserve">ORD-0019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</si>
  <si>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</si>
  <si>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</si>
  <si>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</si>
  <si>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</si>
  <si>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</si>
  <si>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</si>
  <si>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ORD-0026</t>
  </si>
  <si>
    <t xml:space="preserve">ORD-0027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</si>
  <si>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</si>
  <si>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</si>
  <si>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</si>
  <si>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</si>
  <si>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</si>
  <si>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</si>
  <si>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</si>
  <si>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</si>
  <si>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</si>
  <si>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</si>
  <si>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</si>
  <si>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</si>
  <si>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</si>
  <si>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</si>
  <si>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</si>
  <si>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</si>
  <si>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</si>
  <si>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</si>
  <si>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</si>
  <si>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</si>
  <si>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</si>
  <si>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</si>
  <si>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</si>
  <si>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</si>
  <si>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</si>
  <si>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</si>
  <si>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</si>
  <si>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</si>
  <si>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</si>
  <si>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</si>
  <si>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</si>
  <si>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</si>
  <si>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</si>
  <si>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</si>
  <si>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</si>
  <si>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</si>
  <si>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</si>
  <si>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</si>
  <si>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</si>
  <si>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</si>
  <si>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</si>
  <si>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</si>
  <si>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</si>
  <si>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</si>
  <si>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ORD-0072</t>
  </si>
  <si>
    <t xml:space="preserve">ORD-0073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</si>
  <si>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</si>
  <si>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</si>
  <si>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</si>
  <si>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</si>
  <si>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</si>
  <si>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</si>
  <si>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</si>
  <si>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</si>
  <si>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</si>
  <si>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</si>
  <si>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</si>
  <si>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</si>
  <si>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ORD-0086</t>
  </si>
  <si>
    <t xml:space="preserve">ORD-0087</t>
  </si>
  <si>
    <t xml:space="preserve">ORD-0088</t>
  </si>
  <si>
    <t xml:space="preserve">ORD-0089</t>
  </si>
  <si>
    <t xml:space="preserve">ORD-0090</t>
  </si>
  <si>
    <t xml:space="preserve">ORD-0091</t>
  </si>
  <si>
    <t xml:space="preserve">ORD-0092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</si>
  <si>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</si>
  <si>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</si>
  <si>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</si>
  <si>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</si>
  <si>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</si>
  <si>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ORD-0098</t>
  </si>
  <si>
    <t xml:space="preserve">ORD-0099</t>
  </si>
  <si>
    <t xml:space="preserve">ORD-0100</t>
  </si>
  <si>
    <t xml:space="preserve">ORD-0101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</si>
  <si>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</si>
  <si>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</si>
  <si>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</si>
  <si>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</si>
  <si>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</si>
  <si>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</si>
  <si>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</si>
  <si>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</si>
  <si>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ORD-0110</t>
  </si>
  <si>
    <t xml:space="preserve">ORD-0111</t>
  </si>
  <si>
    <t xml:space="preserve">ORD-0112</t>
  </si>
  <si>
    <t xml:space="preserve">ORD-0113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</si>
  <si>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</si>
  <si>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</si>
  <si>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</si>
  <si>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</si>
  <si>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</si>
  <si>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</si>
  <si>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</si>
  <si>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</si>
  <si>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</si>
  <si>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</si>
  <si>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</si>
  <si>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</si>
  <si>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</si>
  <si>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</si>
  <si>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</si>
  <si>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</si>
  <si>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</si>
  <si>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</si>
  <si>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</si>
  <si>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</si>
  <si>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</si>
  <si>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</si>
  <si>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</si>
  <si>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</si>
  <si>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</si>
  <si>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</si>
  <si>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</si>
  <si>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</si>
  <si>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</si>
  <si>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</si>
  <si>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</si>
  <si>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</si>
  <si>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</si>
  <si>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</si>
  <si>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</si>
  <si>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</si>
  <si>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</si>
  <si>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</si>
  <si>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</si>
  <si>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</si>
  <si>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</si>
  <si>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</si>
  <si>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</si>
  <si>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</si>
  <si>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</si>
  <si>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</si>
  <si>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</si>
  <si>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ORD-0161</t>
  </si>
  <si>
    <t xml:space="preserve">ORD-0162</t>
  </si>
  <si>
    <t xml:space="preserve">ORD-0163</t>
  </si>
  <si>
    <t xml:space="preserve">ORD-0164</t>
  </si>
  <si>
    <t xml:space="preserve">ORD-0165</t>
  </si>
  <si>
    <t xml:space="preserve">ORD-0166</t>
  </si>
  <si>
    <t xml:space="preserve">ORD-0167</t>
  </si>
  <si>
    <t xml:space="preserve">ORD-0168</t>
  </si>
  <si>
    <t xml:space="preserve">ORD-0169</t>
  </si>
  <si>
    <t xml:space="preserve">ORD-0170</t>
  </si>
  <si>
    <t xml:space="preserve">ORD-0171</t>
  </si>
  <si>
    <t xml:space="preserve">ORD-0172</t>
  </si>
  <si>
    <t xml:space="preserve">ORD-0173</t>
  </si>
  <si>
    <t xml:space="preserve">ORD-0174</t>
  </si>
  <si>
    <t xml:space="preserve">ORD-0175</t>
  </si>
  <si>
    <t xml:space="preserve">ORD-0176</t>
  </si>
  <si>
    <t xml:space="preserve">ORD-0177</t>
  </si>
  <si>
    <t xml:space="preserve">ORD-0178</t>
  </si>
  <si>
    <t xml:space="preserve">ORD-0179</t>
  </si>
  <si>
    <t xml:space="preserve">ORD-0180</t>
  </si>
  <si>
    <t xml:space="preserve">ORD-0181</t>
  </si>
  <si>
    <t xml:space="preserve">ORD-0182</t>
  </si>
  <si>
    <t xml:space="preserve">ORD-0183</t>
  </si>
  <si>
    <t xml:space="preserve">ORD-0184</t>
  </si>
  <si>
    <t xml:space="preserve">ORD-0185</t>
  </si>
  <si>
    <t xml:space="preserve">ORD-0186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</si>
  <si>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</si>
  <si>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</si>
  <si>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</si>
  <si>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</si>
  <si>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</si>
  <si>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</si>
  <si>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</si>
  <si>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ORD-0194</t>
  </si>
  <si>
    <t xml:space="preserve">ORD-0195</t>
  </si>
  <si>
    <t xml:space="preserve">ORD-0196</t>
  </si>
  <si>
    <t xml:space="preserve">ORD-0197</t>
  </si>
  <si>
    <t xml:space="preserve">ORD-0198</t>
  </si>
  <si>
    <t xml:space="preserve">ORD-0199</t>
  </si>
  <si>
    <t xml:space="preserve">ORD-0200</t>
  </si>
  <si>
    <t xml:space="preserve">ORD-0201</t>
  </si>
  <si>
    <t xml:space="preserve">ORD-0202</t>
  </si>
  <si>
    <t xml:space="preserve">ORD-0203</t>
  </si>
  <si>
    <t xml:space="preserve">ORD-0204</t>
  </si>
  <si>
    <t xml:space="preserve">ORD-0205</t>
  </si>
  <si>
    <t xml:space="preserve">ORD-0206</t>
  </si>
  <si>
    <t xml:space="preserve">ORD-0207</t>
  </si>
  <si>
    <t xml:space="preserve">ORD-0208</t>
  </si>
  <si>
    <t xml:space="preserve">ORD-0209</t>
  </si>
  <si>
    <t xml:space="preserve">ORD-0210</t>
  </si>
  <si>
    <t xml:space="preserve">ORD-0211</t>
  </si>
  <si>
    <t xml:space="preserve">ORD-0212</t>
  </si>
  <si>
    <t xml:space="preserve">ORD-0213</t>
  </si>
  <si>
    <t xml:space="preserve">ORD-0214</t>
  </si>
  <si>
    <t xml:space="preserve">ORD-0215</t>
  </si>
  <si>
    <t xml:space="preserve">ORD-0216</t>
  </si>
  <si>
    <t xml:space="preserve">ORD-0217</t>
  </si>
  <si>
    <t xml:space="preserve">ORD-0218</t>
  </si>
  <si>
    <t xml:space="preserve">ORD-0219</t>
  </si>
  <si>
    <t xml:space="preserve">ORD-0220</t>
  </si>
  <si>
    <t xml:space="preserve">ORD-0221</t>
  </si>
  <si>
    <t xml:space="preserve">ORD-0222</t>
  </si>
  <si>
    <t xml:space="preserve">ORD-0223</t>
  </si>
  <si>
    <t xml:space="preserve">ORD-0224</t>
  </si>
  <si>
    <t xml:space="preserve">ORD-0225</t>
  </si>
  <si>
    <t xml:space="preserve">ORD-0226</t>
  </si>
  <si>
    <t xml:space="preserve">ORD-0227</t>
  </si>
  <si>
    <t xml:space="preserve">ORD-0228</t>
  </si>
  <si>
    <t xml:space="preserve">ORD-0229</t>
  </si>
  <si>
    <t xml:space="preserve">ORD-0230</t>
  </si>
  <si>
    <t xml:space="preserve">ORD-0231</t>
  </si>
  <si>
    <t xml:space="preserve">ORD-0232</t>
  </si>
  <si>
    <t xml:space="preserve">ORD-0233</t>
  </si>
  <si>
    <t xml:space="preserve">ORD-0234</t>
  </si>
  <si>
    <t xml:space="preserve">ORD-0235</t>
  </si>
  <si>
    <t xml:space="preserve">ORD-0236</t>
  </si>
  <si>
    <t xml:space="preserve">ORD-0237</t>
  </si>
  <si>
    <t xml:space="preserve">ORD-0238</t>
  </si>
  <si>
    <t xml:space="preserve">ORD-0239</t>
  </si>
  <si>
    <t xml:space="preserve">ORD-0240</t>
  </si>
  <si>
    <t xml:space="preserve">ORD-0241</t>
  </si>
  <si>
    <t xml:space="preserve">ORD-0242</t>
  </si>
  <si>
    <t xml:space="preserve">ORD-0243</t>
  </si>
  <si>
    <t xml:space="preserve">ORD-0244</t>
  </si>
  <si>
    <t xml:space="preserve">ORD-0245</t>
  </si>
  <si>
    <t xml:space="preserve">ORD-0246</t>
  </si>
  <si>
    <t xml:space="preserve">ORD-0247</t>
  </si>
  <si>
    <t xml:space="preserve">ORD-0248</t>
  </si>
  <si>
    <t xml:space="preserve">ORD-0249</t>
  </si>
  <si>
    <t xml:space="preserve">ORD-0250</t>
  </si>
  <si>
    <t xml:space="preserve">ORD-0251</t>
  </si>
  <si>
    <t xml:space="preserve">ORD-0252</t>
  </si>
  <si>
    <t xml:space="preserve">ORD-0253</t>
  </si>
  <si>
    <t xml:space="preserve">ORD-0254</t>
  </si>
  <si>
    <t xml:space="preserve">ORD-0255</t>
  </si>
  <si>
    <t xml:space="preserve">ORD-0256</t>
  </si>
  <si>
    <t xml:space="preserve">ORD-0257</t>
  </si>
  <si>
    <t xml:space="preserve">ORD-0258</t>
  </si>
  <si>
    <t xml:space="preserve">ORD-0259</t>
  </si>
  <si>
    <t xml:space="preserve">ORD-0260</t>
  </si>
  <si>
    <t xml:space="preserve">ORD-0261</t>
  </si>
  <si>
    <t xml:space="preserve">ORD-0262</t>
  </si>
  <si>
    <t xml:space="preserve">ORD-0263</t>
  </si>
  <si>
    <t xml:space="preserve">ORD-0264</t>
  </si>
  <si>
    <t xml:space="preserve">ORD-0265</t>
  </si>
  <si>
    <t xml:space="preserve">ORD-0266</t>
  </si>
  <si>
    <t xml:space="preserve">ORD-0267</t>
  </si>
  <si>
    <t xml:space="preserve">ORD-0268</t>
  </si>
  <si>
    <t xml:space="preserve">ORD-0269</t>
  </si>
  <si>
    <t xml:space="preserve">ORD-0270</t>
  </si>
  <si>
    <t xml:space="preserve">ORD-0271</t>
  </si>
  <si>
    <t xml:space="preserve">ORD-0272</t>
  </si>
  <si>
    <t xml:space="preserve">ORD-0273</t>
  </si>
  <si>
    <t xml:space="preserve">ORD-0274</t>
  </si>
  <si>
    <t xml:space="preserve">ORD-0275</t>
  </si>
  <si>
    <t xml:space="preserve">ORD-0276</t>
  </si>
  <si>
    <t xml:space="preserve">ORD-0277</t>
  </si>
  <si>
    <t xml:space="preserve">ORD-0278</t>
  </si>
  <si>
    <t xml:space="preserve">ORD-0279</t>
  </si>
  <si>
    <t xml:space="preserve">ORD-0280</t>
  </si>
  <si>
    <t xml:space="preserve">ORD-0281</t>
  </si>
  <si>
    <t xml:space="preserve">ORD-0282</t>
  </si>
  <si>
    <t xml:space="preserve">ORD-0283</t>
  </si>
  <si>
    <t xml:space="preserve">ORD-0284</t>
  </si>
  <si>
    <t xml:space="preserve">ORD-0285</t>
  </si>
  <si>
    <t xml:space="preserve">ORD-0286</t>
  </si>
  <si>
    <t xml:space="preserve">ORD-0287</t>
  </si>
  <si>
    <t xml:space="preserve">ORD-0288</t>
  </si>
  <si>
    <t xml:space="preserve">ORD-0289</t>
  </si>
  <si>
    <t xml:space="preserve">ORD-0290</t>
  </si>
  <si>
    <t xml:space="preserve">ORD-0291</t>
  </si>
  <si>
    <t xml:space="preserve">ORD-0292</t>
  </si>
  <si>
    <t xml:space="preserve">ORD-0293</t>
  </si>
  <si>
    <t xml:space="preserve">ORD-0294</t>
  </si>
  <si>
    <t xml:space="preserve">ORD-0295</t>
  </si>
  <si>
    <t xml:space="preserve">ORD-0296</t>
  </si>
  <si>
    <t xml:space="preserve">ORD-0297</t>
  </si>
  <si>
    <t xml:space="preserve">ORD-0298</t>
  </si>
  <si>
    <t xml:space="preserve">ORD-0299</t>
  </si>
  <si>
    <t xml:space="preserve">ORD-0300</t>
  </si>
  <si>
    <t xml:space="preserve">Assumptions and Notes</t>
  </si>
  <si>
    <t xml:space="preserve">Blue cells are inputs. Change them and the Data and Dashboard sheets recalculate.</t>
  </si>
  <si>
    <t xml:space="preserve">Parameter</t>
  </si>
  <si>
    <t xml:space="preserve">Value</t>
  </si>
  <si>
    <t xml:space="preserve">Source / note</t>
  </si>
  <si>
    <t xml:space="preserve">SLA threshold (min)</t>
  </si>
  <si>
    <t xml:space="preserve">Assumption: a delivery longer than this counts as an SLA breach</t>
  </si>
  <si>
    <t xml:space="preserve">Lunch peak starts (hour)</t>
  </si>
  <si>
    <t xml:space="preserve">business-case.md: peak 12:00-14:00</t>
  </si>
  <si>
    <t xml:space="preserve">Lunch peak last hour</t>
  </si>
  <si>
    <t xml:space="preserve">Orders placed from 12:00 to 13:59</t>
  </si>
  <si>
    <t xml:space="preserve">Dinner peak starts (hour)</t>
  </si>
  <si>
    <t xml:space="preserve">business-case.md: peak 19:00-22:00</t>
  </si>
  <si>
    <t xml:space="preserve">Dinner peak last hour</t>
  </si>
  <si>
    <t xml:space="preserve">Orders placed from 19:00 to 21:59</t>
  </si>
  <si>
    <t xml:space="preserve">Target avg delivery time (min)</t>
  </si>
  <si>
    <t xml:space="preserve">Goal G1 in business-case.md</t>
  </si>
  <si>
    <t xml:space="preserve">Target cancellation rate</t>
  </si>
  <si>
    <t xml:space="preserve">Goal G2 in business-case.md</t>
  </si>
  <si>
    <t xml:space="preserve">Target avg customer rating</t>
  </si>
  <si>
    <t xml:space="preserve">Goal G3 in business-case.md</t>
  </si>
  <si>
    <t xml:space="preserve">Business case baseline: avg delivery time (min)</t>
  </si>
  <si>
    <t xml:space="preserve">Problem statement in business-case.md</t>
  </si>
  <si>
    <t xml:space="preserve">Business case baseline: cancellation rate</t>
  </si>
  <si>
    <t xml:space="preserve">Business case baseline: avg customer rating</t>
  </si>
  <si>
    <t xml:space="preserve">Goal G3 baseline in business-case.md</t>
  </si>
  <si>
    <t xml:space="preserve">About the data</t>
  </si>
  <si>
    <t xml:space="preserve">All data on the Data sheet is synthetic (randomly generated with a fixed seed) and created for demonstration only.</t>
  </si>
  <si>
    <t xml:space="preserve">300 orders over 14 days (14-27 Sep 2026) for the fictional platform FoodGo in Baku.</t>
  </si>
  <si>
    <t xml:space="preserve">The data was calibrated so that the totals match the business case baseline: about 41 min delivery time, 11% cancellations, 4.1 rating.</t>
  </si>
  <si>
    <t xml:space="preserve">Delivery time is the sum of six process stages, in the AS-IS order: confirmation, preparation, courier assignment, travel to restaurant, wait at restaurant, travel to customer.</t>
  </si>
  <si>
    <t xml:space="preserve">Cancelled orders have no stage times, rating or item issue (cells are empty).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</si>
</sst>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%"/>
    <numFmt numFmtId="167" formatCode="\+0.0%;\-0.0%;0.0%"/>
    <numFmt numFmtId="168" formatCode="0.0"/>
    <numFmt numFmtId="169" formatCode="\+0.0;\-0.0;0.0"/>
    <numFmt numFmtId="170" formatCode="0.00"/>
    <numFmt numFmtId="171" formatCode="\+0.00;\-0.00;0.00"/>
    <numFmt numFmtId="172" formatCode="\+0;\-0;0"/>
    <numFmt numFmtId="173" formatCode="0%"/>
    <numFmt numFmtId="174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delivery time by order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Dashboard!E45</c:f>
              <c:strCache>
                <c:ptCount val="1"/>
                <c:pt idx="0">
                  <c:v>Avg delivery time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Dashboard!$A$46:$A$59</c:f>
              <c:strCache>
                <c:ptCount val="1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strCache>
            </c:strRef>
          </c:cat>
          <c:val>
            <c:numRef>
              <c:f>Dashboard!$E$46:$E$59</c:f>
              <c:numCache>
                <c:formatCode>0.0</c:formatCode>
                <c:ptCount val="14"/>
                <c:pt idx="0">
                  <c:v>36</c:v>
                </c:pt>
                <c:pt idx="1">
                  <c:v>34.7222222222222</c:v>
                </c:pt>
                <c:pt idx="2">
                  <c:v>49.7</c:v>
                </c:pt>
                <c:pt idx="3">
                  <c:v>49.8846153846154</c:v>
                </c:pt>
                <c:pt idx="4">
                  <c:v>36.5806451612903</c:v>
                </c:pt>
                <c:pt idx="5">
                  <c:v>34.4</c:v>
                </c:pt>
                <c:pt idx="6">
                  <c:v>27.8888888888889</c:v>
                </c:pt>
                <c:pt idx="7">
                  <c:v>34.4545454545455</c:v>
                </c:pt>
                <c:pt idx="8">
                  <c:v>33.6</c:v>
                </c:pt>
                <c:pt idx="9">
                  <c:v>49.7037037037037</c:v>
                </c:pt>
                <c:pt idx="10">
                  <c:v>44.1052631578947</c:v>
                </c:pt>
                <c:pt idx="11">
                  <c:v>52.5238095238095</c:v>
                </c:pt>
                <c:pt idx="12">
                  <c:v>36.3684210526316</c:v>
                </c:pt>
                <c:pt idx="13">
                  <c:v>35.5</c:v>
                </c:pt>
              </c:numCache>
            </c:numRef>
          </c:val>
        </c:ser>
        <c:gapWidth val="150"/>
        <c:overlap val="0"/>
        <c:axId val="41413182"/>
        <c:axId val="25573623"/>
      </c:barChart>
      <c:catAx>
        <c:axId val="414131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73623"/>
        <c:crosses val="autoZero"/>
        <c:auto val="1"/>
        <c:lblAlgn val="ctr"/>
        <c:lblOffset val="100"/>
        <c:noMultiLvlLbl val="0"/>
      </c:catAx>
      <c:valAx>
        <c:axId val="25573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131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Stage duration: peak vs off-peak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Dashboard!B25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Confirmation</c:v>
                </c:pt>
                <c:pt idx="1">
                  <c:v>Preparation</c:v>
                </c:pt>
                <c:pt idx="2">
                  <c:v>Courier assignment</c:v>
                </c:pt>
                <c:pt idx="3">
                  <c:v>Travel to restaurant</c:v>
                </c:pt>
                <c:pt idx="4">
                  <c:v>Wait at restaurant</c:v>
                </c:pt>
                <c:pt idx="5">
                  <c:v>Travel to customer</c:v>
                </c:pt>
              </c:strCache>
            </c:strRef>
          </c:cat>
          <c:val>
            <c:numRef>
              <c:f>Dashboard!$B$26:$B$31</c:f>
              <c:numCache>
                <c:formatCode>0.0</c:formatCode>
                <c:ptCount val="6"/>
                <c:pt idx="0">
                  <c:v>4.02654867256637</c:v>
                </c:pt>
                <c:pt idx="1">
                  <c:v>15.1150442477876</c:v>
                </c:pt>
                <c:pt idx="2">
                  <c:v>7.0353982300885</c:v>
                </c:pt>
                <c:pt idx="3">
                  <c:v>7.71681415929204</c:v>
                </c:pt>
                <c:pt idx="4">
                  <c:v>5.10619469026549</c:v>
                </c:pt>
                <c:pt idx="5">
                  <c:v>10.3274336283186</c:v>
                </c:pt>
              </c:numCache>
            </c:numRef>
          </c:val>
        </c:ser>
        <c:ser>
          <c:idx val="1"/>
          <c:order val="1"/>
          <c:tx>
            <c:strRef>
              <c:f>Dashboard!C25</c:f>
              <c:strCache>
                <c:ptCount val="1"/>
                <c:pt idx="0">
                  <c:v>Off-peak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Confirmation</c:v>
                </c:pt>
                <c:pt idx="1">
                  <c:v>Preparation</c:v>
                </c:pt>
                <c:pt idx="2">
                  <c:v>Courier assignment</c:v>
                </c:pt>
                <c:pt idx="3">
                  <c:v>Travel to restaurant</c:v>
                </c:pt>
                <c:pt idx="4">
                  <c:v>Wait at restaurant</c:v>
                </c:pt>
                <c:pt idx="5">
                  <c:v>Travel to customer</c:v>
                </c:pt>
              </c:strCache>
            </c:strRef>
          </c:cat>
          <c:val>
            <c:numRef>
              <c:f>Dashboard!$C$26:$C$31</c:f>
              <c:numCache>
                <c:formatCode>0.0</c:formatCode>
                <c:ptCount val="6"/>
                <c:pt idx="0">
                  <c:v>1.8961038961039</c:v>
                </c:pt>
                <c:pt idx="1">
                  <c:v>12.5844155844156</c:v>
                </c:pt>
                <c:pt idx="2">
                  <c:v>3.54545454545455</c:v>
                </c:pt>
                <c:pt idx="3">
                  <c:v>6.03896103896104</c:v>
                </c:pt>
                <c:pt idx="4">
                  <c:v>1.83116883116883</c:v>
                </c:pt>
                <c:pt idx="5">
                  <c:v>8.86363636363636</c:v>
                </c:pt>
              </c:numCache>
            </c:numRef>
          </c:val>
        </c:ser>
        <c:gapWidth val="150"/>
        <c:overlap val="0"/>
        <c:axId val="43784293"/>
        <c:axId val="12550849"/>
      </c:barChart>
      <c:catAx>
        <c:axId val="437842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50849"/>
        <c:crosses val="autoZero"/>
        <c:auto val="1"/>
        <c:lblAlgn val="ctr"/>
        <c:lblOffset val="100"/>
        <c:noMultiLvlLbl val="0"/>
      </c:catAx>
      <c:valAx>
        <c:axId val="12550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84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Dashboard!B36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Dashboard!$A$37:$A$40</c:f>
              <c:strCache>
                <c:ptCount val="4"/>
                <c:pt idx="0">
                  <c:v>Restaurant did not confirm</c:v>
                </c:pt>
                <c:pt idx="1">
                  <c:v>Courier not assigned in time</c:v>
                </c:pt>
                <c:pt idx="2">
                  <c:v>Customer cancelled: long wait</c:v>
                </c:pt>
                <c:pt idx="3">
                  <c:v>Item unavailable</c:v>
                </c:pt>
              </c:strCache>
            </c:strRef>
          </c:cat>
          <c:val>
            <c:numRef>
              <c:f>Dashboard!$B$37:$B$40</c:f>
              <c:numCache>
                <c:formatCode>0</c:formatCode>
                <c:ptCount val="4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57099003"/>
        <c:axId val="22513144"/>
      </c:barChart>
      <c:catAx>
        <c:axId val="5709900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13144"/>
        <c:crosses val="autoZero"/>
        <c:auto val="1"/>
        <c:lblAlgn val="ctr"/>
        <c:lblOffset val="100"/>
        <c:noMultiLvlLbl val="0"/>
      </c:catAx>
      <c:valAx>
        <c:axId val="22513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990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4680</xdr:colOff>
      <xdr:row>16</xdr:row>
      <xdr:rowOff>172440</xdr:rowOff>
    </xdr:to>
    <xdr:graphicFrame>
      <xdr:nvGraphicFramePr>
        <xdr:cNvPr id="0" name="Chart 1"/>
        <xdr:cNvGraphicFramePr/>
      </xdr:nvGraphicFramePr>
      <xdr:xfrm>
        <a:off x="1146636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160560</xdr:rowOff>
    </xdr:from>
    <xdr:to>
      <xdr:col>17</xdr:col>
      <xdr:colOff>4680</xdr:colOff>
      <xdr:row>35</xdr:row>
      <xdr:rowOff>172440</xdr:rowOff>
    </xdr:to>
    <xdr:graphicFrame>
      <xdr:nvGraphicFramePr>
        <xdr:cNvPr id="1" name="Chart 2"/>
        <xdr:cNvGraphicFramePr/>
      </xdr:nvGraphicFramePr>
      <xdr:xfrm>
        <a:off x="11466360" y="43815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38</xdr:row>
      <xdr:rowOff>160560</xdr:rowOff>
    </xdr:from>
    <xdr:to>
      <xdr:col>17</xdr:col>
      <xdr:colOff>4680</xdr:colOff>
      <xdr:row>54</xdr:row>
      <xdr:rowOff>172440</xdr:rowOff>
    </xdr:to>
    <xdr:graphicFrame>
      <xdr:nvGraphicFramePr>
        <xdr:cNvPr id="2" name="Chart 3"/>
        <xdr:cNvGraphicFramePr/>
      </xdr:nvGraphicFramePr>
      <xdr:xfrm>
        <a:off x="11466360" y="8001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COUNTA(Data!$A$2:$A$301)</f>
        <v>300</v>
      </c>
      <c r="C6" s="5"/>
      <c r="D6" s="5"/>
      <c r="E6" s="5"/>
    </row>
    <row r="7" customFormat="false" ht="15" hidden="false" customHeight="false" outlineLevel="0" collapsed="false">
      <c r="A7" s="5" t="s">
        <v>9</v>
      </c>
      <c r="B7" s="6" t="n">
        <f aca="false">COUNTIF(Data!$F$2:$F$301,"Delivered")</f>
        <v>267</v>
      </c>
      <c r="C7" s="5"/>
      <c r="D7" s="5"/>
      <c r="E7" s="5"/>
    </row>
    <row r="8" customFormat="false" ht="15" hidden="false" customHeight="false" outlineLevel="0" collapsed="false">
      <c r="A8" s="5" t="s">
        <v>10</v>
      </c>
      <c r="B8" s="6" t="n">
        <f aca="false">COUNTIF(Data!$F$2:$F$301,"Cancelled")</f>
        <v>33</v>
      </c>
      <c r="C8" s="5"/>
      <c r="D8" s="5"/>
      <c r="E8" s="5"/>
    </row>
    <row r="9" customFormat="false" ht="15" hidden="false" customHeight="false" outlineLevel="0" collapsed="false">
      <c r="A9" s="5" t="s">
        <v>11</v>
      </c>
      <c r="B9" s="7" t="n">
        <f aca="false">B8/B6</f>
        <v>0.11</v>
      </c>
      <c r="C9" s="8" t="n">
        <f aca="false">Assumptions!B13</f>
        <v>0.11</v>
      </c>
      <c r="D9" s="8" t="n">
        <f aca="false">Assumptions!B10</f>
        <v>0.07</v>
      </c>
      <c r="E9" s="9" t="n">
        <f aca="false">B9-D9</f>
        <v>0.04</v>
      </c>
    </row>
    <row r="10" customFormat="false" ht="15" hidden="false" customHeight="false" outlineLevel="0" collapsed="false">
      <c r="A10" s="5" t="s">
        <v>12</v>
      </c>
      <c r="B10" s="10" t="n">
        <f aca="false">AVERAGEIFS(Data!$N$2:$N$301,Data!$F$2:$F$301,"Delivered")</f>
        <v>40.9250936329588</v>
      </c>
      <c r="C10" s="11" t="n">
        <f aca="false">Assumptions!B12</f>
        <v>41</v>
      </c>
      <c r="D10" s="11" t="n">
        <f aca="false">Assumptions!B9</f>
        <v>34</v>
      </c>
      <c r="E10" s="12" t="n">
        <f aca="false">B10-D10</f>
        <v>6.9250936329588</v>
      </c>
    </row>
    <row r="11" customFormat="false" ht="15" hidden="false" customHeight="false" outlineLevel="0" collapsed="false">
      <c r="A11" s="5" t="s">
        <v>13</v>
      </c>
      <c r="B11" s="13" t="n">
        <f aca="false">AVERAGE(Data!$O$2:$O$301)</f>
        <v>4.09737827715356</v>
      </c>
      <c r="C11" s="11" t="n">
        <f aca="false">Assumptions!B14</f>
        <v>4.1</v>
      </c>
      <c r="D11" s="11" t="n">
        <f aca="false">Assumptions!B11</f>
        <v>4.4</v>
      </c>
      <c r="E11" s="14" t="n">
        <f aca="false">B11-D11</f>
        <v>-0.302621722846443</v>
      </c>
    </row>
    <row r="12" customFormat="false" ht="15" hidden="false" customHeight="false" outlineLevel="0" collapsed="false">
      <c r="A12" s="5" t="s">
        <v>14</v>
      </c>
      <c r="B12" s="7" t="n">
        <f aca="false">COUNTIF(Data!$Q$2:$Q$301,"Yes")/B7</f>
        <v>0.303370786516854</v>
      </c>
      <c r="C12" s="5"/>
      <c r="D12" s="5"/>
      <c r="E12" s="5"/>
    </row>
    <row r="14" customFormat="false" ht="15" hidden="false" customHeight="false" outlineLevel="0" collapsed="false">
      <c r="A14" s="3" t="s">
        <v>15</v>
      </c>
    </row>
    <row r="15" customFormat="false" ht="30" hidden="false" customHeight="true" outlineLevel="0" collapsed="false">
      <c r="A15" s="4" t="s">
        <v>16</v>
      </c>
      <c r="B15" s="4" t="s">
        <v>17</v>
      </c>
      <c r="C15" s="4" t="s">
        <v>18</v>
      </c>
      <c r="D15" s="4" t="s">
        <v>19</v>
      </c>
    </row>
    <row r="16" customFormat="false" ht="15" hidden="false" customHeight="false" outlineLevel="0" collapsed="false">
      <c r="A16" s="5" t="s">
        <v>20</v>
      </c>
      <c r="B16" s="6" t="n">
        <f aca="false">COUNTIF(Data!$D$2:$D$301,B$15)</f>
        <v>134</v>
      </c>
      <c r="C16" s="6" t="n">
        <f aca="false">COUNTIF(Data!$D$2:$D$301,C$15)</f>
        <v>166</v>
      </c>
      <c r="D16" s="15" t="n">
        <f aca="false">B16-C16</f>
        <v>-32</v>
      </c>
    </row>
    <row r="17" customFormat="false" ht="15" hidden="false" customHeight="false" outlineLevel="0" collapsed="false">
      <c r="A17" s="5" t="s">
        <v>10</v>
      </c>
      <c r="B17" s="6" t="n">
        <f aca="false">COUNTIFS(Data!$D$2:$D$301,B$15,Data!$F$2:$F$301,"Cancelled")</f>
        <v>21</v>
      </c>
      <c r="C17" s="6" t="n">
        <f aca="false">COUNTIFS(Data!$D$2:$D$301,C$15,Data!$F$2:$F$301,"Cancelled")</f>
        <v>12</v>
      </c>
      <c r="D17" s="15" t="n">
        <f aca="false">B17-C17</f>
        <v>9</v>
      </c>
    </row>
    <row r="18" customFormat="false" ht="15" hidden="false" customHeight="false" outlineLevel="0" collapsed="false">
      <c r="A18" s="5" t="s">
        <v>21</v>
      </c>
      <c r="B18" s="7" t="n">
        <f aca="false">IFERROR(B17/B16,0)</f>
        <v>0.156716417910448</v>
      </c>
      <c r="C18" s="7" t="n">
        <f aca="false">IFERROR(C17/C16,0)</f>
        <v>0.072289156626506</v>
      </c>
      <c r="D18" s="9" t="n">
        <f aca="false">B18-C18</f>
        <v>0.0844272612839418</v>
      </c>
    </row>
    <row r="19" customFormat="false" ht="15" hidden="false" customHeight="false" outlineLevel="0" collapsed="false">
      <c r="A19" s="5" t="s">
        <v>22</v>
      </c>
      <c r="B19" s="10" t="n">
        <f aca="false">AVERAGEIFS(Data!$N$2:$N$301,Data!$D$2:$D$301,B$15,Data!$F$2:$F$301,"Delivered")</f>
        <v>49.3274336283186</v>
      </c>
      <c r="C19" s="10" t="n">
        <f aca="false">AVERAGEIFS(Data!$N$2:$N$301,Data!$D$2:$D$301,C$15,Data!$F$2:$F$301,"Delivered")</f>
        <v>34.7597402597403</v>
      </c>
      <c r="D19" s="12" t="n">
        <f aca="false">B19-C19</f>
        <v>14.5676933685783</v>
      </c>
    </row>
    <row r="20" customFormat="false" ht="15" hidden="false" customHeight="false" outlineLevel="0" collapsed="false">
      <c r="A20" s="5" t="s">
        <v>23</v>
      </c>
      <c r="B20" s="13" t="n">
        <f aca="false">AVERAGEIFS(Data!$O$2:$O$301,Data!$D$2:$D$301,B$15)</f>
        <v>3.64601769911504</v>
      </c>
      <c r="C20" s="13" t="n">
        <f aca="false">AVERAGEIFS(Data!$O$2:$O$301,Data!$D$2:$D$301,C$15)</f>
        <v>4.42857142857143</v>
      </c>
      <c r="D20" s="14" t="n">
        <f aca="false">B20-C20</f>
        <v>-0.782553729456385</v>
      </c>
    </row>
    <row r="21" customFormat="false" ht="15" hidden="false" customHeight="false" outlineLevel="0" collapsed="false">
      <c r="A21" s="5" t="s">
        <v>24</v>
      </c>
      <c r="B21" s="7" t="n">
        <f aca="false">IFERROR(COUNTIFS(Data!$D$2:$D$301,B$15,Data!$Q$2:$Q$301,"Yes")/COUNTIFS(Data!$D$2:$D$301,B$15,Data!$F$2:$F$301,"Delivered"),0)</f>
        <v>0.601769911504425</v>
      </c>
      <c r="C21" s="7" t="n">
        <f aca="false">IFERROR(COUNTIFS(Data!$D$2:$D$301,C$15,Data!$Q$2:$Q$301,"Yes")/COUNTIFS(Data!$D$2:$D$301,C$15,Data!$F$2:$F$301,"Delivered"),0)</f>
        <v>0.0844155844155844</v>
      </c>
      <c r="D21" s="9" t="n">
        <f aca="false">B21-C21</f>
        <v>0.51735432708884</v>
      </c>
    </row>
    <row r="24" customFormat="false" ht="15" hidden="false" customHeight="false" outlineLevel="0" collapsed="false">
      <c r="A24" s="3" t="s">
        <v>25</v>
      </c>
    </row>
    <row r="25" customFormat="false" ht="30" hidden="false" customHeight="true" outlineLevel="0" collapsed="false">
      <c r="A25" s="4" t="s">
        <v>26</v>
      </c>
      <c r="B25" s="4" t="s">
        <v>17</v>
      </c>
      <c r="C25" s="4" t="s">
        <v>18</v>
      </c>
      <c r="D25" s="4" t="s">
        <v>27</v>
      </c>
      <c r="E25" s="4" t="s">
        <v>28</v>
      </c>
      <c r="F25" s="4" t="s">
        <v>29</v>
      </c>
    </row>
    <row r="26" customFormat="false" ht="15" hidden="false" customHeight="false" outlineLevel="0" collapsed="false">
      <c r="A26" s="5" t="s">
        <v>30</v>
      </c>
      <c r="B26" s="10" t="n">
        <f aca="false">AVERAGEIFS(Data!$H$2:$H$301,Data!$D$2:$D$301,B$25,Data!$F$2:$F$301,"Delivered")</f>
        <v>4.02654867256637</v>
      </c>
      <c r="C26" s="10" t="n">
        <f aca="false">AVERAGEIFS(Data!$H$2:$H$301,Data!$D$2:$D$301,C$25,Data!$F$2:$F$301,"Delivered")</f>
        <v>1.8961038961039</v>
      </c>
      <c r="D26" s="12" t="n">
        <f aca="false">B26-C26</f>
        <v>2.13044477646248</v>
      </c>
      <c r="E26" s="16" t="n">
        <f aca="false">IFERROR(D26/D$32,0)</f>
        <v>0.14624448240088</v>
      </c>
      <c r="F26" s="5" t="s">
        <v>31</v>
      </c>
    </row>
    <row r="27" customFormat="false" ht="15" hidden="false" customHeight="false" outlineLevel="0" collapsed="false">
      <c r="A27" s="5" t="s">
        <v>32</v>
      </c>
      <c r="B27" s="10" t="n">
        <f aca="false">AVERAGEIFS(Data!$I$2:$I$301,Data!$D$2:$D$301,B$25,Data!$F$2:$F$301,"Delivered")</f>
        <v>15.1150442477876</v>
      </c>
      <c r="C27" s="10" t="n">
        <f aca="false">AVERAGEIFS(Data!$I$2:$I$301,Data!$D$2:$D$301,C$25,Data!$F$2:$F$301,"Delivered")</f>
        <v>12.5844155844156</v>
      </c>
      <c r="D27" s="12" t="n">
        <f aca="false">B27-C27</f>
        <v>2.53062866337203</v>
      </c>
      <c r="E27" s="16" t="n">
        <f aca="false">IFERROR(D27/D$32,0)</f>
        <v>0.173715124237201</v>
      </c>
      <c r="F27" s="5" t="s">
        <v>33</v>
      </c>
    </row>
    <row r="28" customFormat="false" ht="15" hidden="false" customHeight="false" outlineLevel="0" collapsed="false">
      <c r="A28" s="5" t="s">
        <v>34</v>
      </c>
      <c r="B28" s="10" t="n">
        <f aca="false">AVERAGEIFS(Data!$J$2:$J$301,Data!$D$2:$D$301,B$25,Data!$F$2:$F$301,"Delivered")</f>
        <v>7.0353982300885</v>
      </c>
      <c r="C28" s="10" t="n">
        <f aca="false">AVERAGEIFS(Data!$J$2:$J$301,Data!$D$2:$D$301,C$25,Data!$F$2:$F$301,"Delivered")</f>
        <v>3.54545454545455</v>
      </c>
      <c r="D28" s="12" t="n">
        <f aca="false">B28-C28</f>
        <v>3.48994368463395</v>
      </c>
      <c r="E28" s="16" t="n">
        <f aca="false">IFERROR(D28/D$32,0)</f>
        <v>0.239567349225071</v>
      </c>
      <c r="F28" s="5" t="s">
        <v>35</v>
      </c>
    </row>
    <row r="29" customFormat="false" ht="15" hidden="false" customHeight="false" outlineLevel="0" collapsed="false">
      <c r="A29" s="5" t="s">
        <v>36</v>
      </c>
      <c r="B29" s="10" t="n">
        <f aca="false">AVERAGEIFS(Data!$K$2:$K$301,Data!$D$2:$D$301,B$25,Data!$F$2:$F$301,"Delivered")</f>
        <v>7.71681415929204</v>
      </c>
      <c r="C29" s="10" t="n">
        <f aca="false">AVERAGEIFS(Data!$K$2:$K$301,Data!$D$2:$D$301,C$25,Data!$F$2:$F$301,"Delivered")</f>
        <v>6.03896103896104</v>
      </c>
      <c r="D29" s="12" t="n">
        <f aca="false">B29-C29</f>
        <v>1.677853120331</v>
      </c>
      <c r="E29" s="16" t="n">
        <f aca="false">IFERROR(D29/D$32,0)</f>
        <v>0.115176306768649</v>
      </c>
      <c r="F29" s="5" t="s">
        <v>37</v>
      </c>
    </row>
    <row r="30" customFormat="false" ht="15" hidden="false" customHeight="false" outlineLevel="0" collapsed="false">
      <c r="A30" s="5" t="s">
        <v>38</v>
      </c>
      <c r="B30" s="10" t="n">
        <f aca="false">AVERAGEIFS(Data!$L$2:$L$301,Data!$D$2:$D$301,B$25,Data!$F$2:$F$301,"Delivered")</f>
        <v>5.10619469026549</v>
      </c>
      <c r="C30" s="10" t="n">
        <f aca="false">AVERAGEIFS(Data!$L$2:$L$301,Data!$D$2:$D$301,C$25,Data!$F$2:$F$301,"Delivered")</f>
        <v>1.83116883116883</v>
      </c>
      <c r="D30" s="12" t="n">
        <f aca="false">B30-C30</f>
        <v>3.27502585909666</v>
      </c>
      <c r="E30" s="16" t="n">
        <f aca="false">IFERROR(D30/D$32,0)</f>
        <v>0.224814304930436</v>
      </c>
      <c r="F30" s="5" t="s">
        <v>39</v>
      </c>
    </row>
    <row r="31" customFormat="false" ht="15" hidden="false" customHeight="false" outlineLevel="0" collapsed="false">
      <c r="A31" s="5" t="s">
        <v>40</v>
      </c>
      <c r="B31" s="10" t="n">
        <f aca="false">AVERAGEIFS(Data!$M$2:$M$301,Data!$D$2:$D$301,B$25,Data!$F$2:$F$301,"Delivered")</f>
        <v>10.3274336283186</v>
      </c>
      <c r="C31" s="10" t="n">
        <f aca="false">AVERAGEIFS(Data!$M$2:$M$301,Data!$D$2:$D$301,C$25,Data!$F$2:$F$301,"Delivered")</f>
        <v>8.86363636363636</v>
      </c>
      <c r="D31" s="12" t="n">
        <f aca="false">B31-C31</f>
        <v>1.46379726468222</v>
      </c>
      <c r="E31" s="16" t="n">
        <f aca="false">IFERROR(D31/D$32,0)</f>
        <v>0.100482432437763</v>
      </c>
      <c r="F31" s="5" t="s">
        <v>37</v>
      </c>
    </row>
    <row r="32" customFormat="false" ht="15" hidden="false" customHeight="false" outlineLevel="0" collapsed="false">
      <c r="A32" s="17" t="s">
        <v>41</v>
      </c>
      <c r="B32" s="18" t="n">
        <f aca="false">SUM(B26:B31)</f>
        <v>49.3274336283186</v>
      </c>
      <c r="C32" s="18" t="n">
        <f aca="false">SUM(C26:C31)</f>
        <v>34.7597402597403</v>
      </c>
      <c r="D32" s="19" t="n">
        <f aca="false">SUM(D26:D31)</f>
        <v>14.5676933685783</v>
      </c>
      <c r="E32" s="20" t="n">
        <f aca="false">SUM(E26:E31)</f>
        <v>1</v>
      </c>
      <c r="F32" s="5"/>
    </row>
    <row r="35" customFormat="false" ht="15" hidden="false" customHeight="false" outlineLevel="0" collapsed="false">
      <c r="A35" s="3" t="s">
        <v>42</v>
      </c>
    </row>
    <row r="36" customFormat="false" ht="15" hidden="false" customHeight="false" outlineLevel="0" collapsed="false">
      <c r="A36" s="4" t="s">
        <v>43</v>
      </c>
      <c r="B36" s="4" t="s">
        <v>20</v>
      </c>
      <c r="C36" s="4" t="s">
        <v>44</v>
      </c>
      <c r="D36" s="4" t="s">
        <v>29</v>
      </c>
    </row>
    <row r="37" customFormat="false" ht="15" hidden="false" customHeight="false" outlineLevel="0" collapsed="false">
      <c r="A37" s="5" t="s">
        <v>45</v>
      </c>
      <c r="B37" s="6" t="n">
        <f aca="false">COUNTIF(Data!$G$2:$G$301,A37)</f>
        <v>11</v>
      </c>
      <c r="C37" s="16" t="n">
        <f aca="false">IFERROR(B37/B$41,0)</f>
        <v>0.333333333333333</v>
      </c>
      <c r="D37" s="5" t="s">
        <v>31</v>
      </c>
    </row>
    <row r="38" customFormat="false" ht="15" hidden="false" customHeight="false" outlineLevel="0" collapsed="false">
      <c r="A38" s="5" t="s">
        <v>46</v>
      </c>
      <c r="B38" s="6" t="n">
        <f aca="false">COUNTIF(Data!$G$2:$G$301,A38)</f>
        <v>10</v>
      </c>
      <c r="C38" s="16" t="n">
        <f aca="false">IFERROR(B38/B$41,0)</f>
        <v>0.303030303030303</v>
      </c>
      <c r="D38" s="5" t="s">
        <v>35</v>
      </c>
    </row>
    <row r="39" customFormat="false" ht="15" hidden="false" customHeight="false" outlineLevel="0" collapsed="false">
      <c r="A39" s="5" t="s">
        <v>47</v>
      </c>
      <c r="B39" s="6" t="n">
        <f aca="false">COUNTIF(Data!$G$2:$G$301,A39)</f>
        <v>9</v>
      </c>
      <c r="C39" s="16" t="n">
        <f aca="false">IFERROR(B39/B$41,0)</f>
        <v>0.272727272727273</v>
      </c>
      <c r="D39" s="5" t="s">
        <v>48</v>
      </c>
    </row>
    <row r="40" customFormat="false" ht="15" hidden="false" customHeight="false" outlineLevel="0" collapsed="false">
      <c r="A40" s="5" t="s">
        <v>49</v>
      </c>
      <c r="B40" s="6" t="n">
        <f aca="false">COUNTIF(Data!$G$2:$G$301,A40)</f>
        <v>3</v>
      </c>
      <c r="C40" s="16" t="n">
        <f aca="false">IFERROR(B40/B$41,0)</f>
        <v>0.0909090909090909</v>
      </c>
      <c r="D40" s="5" t="s">
        <v>50</v>
      </c>
    </row>
    <row r="41" customFormat="false" ht="15" hidden="false" customHeight="false" outlineLevel="0" collapsed="false">
      <c r="A41" s="17" t="s">
        <v>51</v>
      </c>
      <c r="B41" s="21" t="n">
        <f aca="false">SUM(B37:B40)</f>
        <v>33</v>
      </c>
      <c r="C41" s="20" t="n">
        <f aca="false">SUM(C37:C40)</f>
        <v>1</v>
      </c>
      <c r="D41" s="5"/>
    </row>
    <row r="44" customFormat="false" ht="15" hidden="false" customHeight="false" outlineLevel="0" collapsed="false">
      <c r="A44" s="3" t="s">
        <v>52</v>
      </c>
    </row>
    <row r="45" customFormat="false" ht="15" hidden="false" customHeight="false" outlineLevel="0" collapsed="false">
      <c r="A45" s="4" t="s">
        <v>53</v>
      </c>
      <c r="B45" s="4" t="s">
        <v>20</v>
      </c>
      <c r="C45" s="4" t="s">
        <v>54</v>
      </c>
      <c r="D45" s="4" t="s">
        <v>21</v>
      </c>
      <c r="E45" s="4" t="s">
        <v>22</v>
      </c>
    </row>
    <row r="46" customFormat="false" ht="15" hidden="false" customHeight="false" outlineLevel="0" collapsed="false">
      <c r="A46" s="6" t="n">
        <v>10</v>
      </c>
      <c r="B46" s="6" t="n">
        <f aca="false">COUNTIF(Data!$C$2:$C$301,A46)</f>
        <v>13</v>
      </c>
      <c r="C46" s="6" t="n">
        <f aca="false">COUNTIFS(Data!$C$2:$C$301,A46,Data!$F$2:$F$301,"Cancelled")</f>
        <v>2</v>
      </c>
      <c r="D46" s="7" t="n">
        <f aca="false">IFERROR(C46/B46,0)</f>
        <v>0.153846153846154</v>
      </c>
      <c r="E46" s="10" t="n">
        <f aca="false">IFERROR(AVERAGEIFS(Data!$N$2:$N$301,Data!$C$2:$C$301,A46,Data!$F$2:$F$301,"Delivered"),0)</f>
        <v>36</v>
      </c>
    </row>
    <row r="47" customFormat="false" ht="15" hidden="false" customHeight="false" outlineLevel="0" collapsed="false">
      <c r="A47" s="6" t="n">
        <v>11</v>
      </c>
      <c r="B47" s="6" t="n">
        <f aca="false">COUNTIF(Data!$C$2:$C$301,A47)</f>
        <v>18</v>
      </c>
      <c r="C47" s="6" t="n">
        <f aca="false">COUNTIFS(Data!$C$2:$C$301,A47,Data!$F$2:$F$301,"Cancelled")</f>
        <v>0</v>
      </c>
      <c r="D47" s="7" t="n">
        <f aca="false">IFERROR(C47/B47,0)</f>
        <v>0</v>
      </c>
      <c r="E47" s="10" t="n">
        <f aca="false">IFERROR(AVERAGEIFS(Data!$N$2:$N$301,Data!$C$2:$C$301,A47,Data!$F$2:$F$301,"Delivered"),0)</f>
        <v>34.7222222222222</v>
      </c>
    </row>
    <row r="48" customFormat="false" ht="15" hidden="false" customHeight="false" outlineLevel="0" collapsed="false">
      <c r="A48" s="6" t="n">
        <v>12</v>
      </c>
      <c r="B48" s="6" t="n">
        <f aca="false">COUNTIF(Data!$C$2:$C$301,A48)</f>
        <v>27</v>
      </c>
      <c r="C48" s="6" t="n">
        <f aca="false">COUNTIFS(Data!$C$2:$C$301,A48,Data!$F$2:$F$301,"Cancelled")</f>
        <v>7</v>
      </c>
      <c r="D48" s="7" t="n">
        <f aca="false">IFERROR(C48/B48,0)</f>
        <v>0.259259259259259</v>
      </c>
      <c r="E48" s="10" t="n">
        <f aca="false">IFERROR(AVERAGEIFS(Data!$N$2:$N$301,Data!$C$2:$C$301,A48,Data!$F$2:$F$301,"Delivered"),0)</f>
        <v>49.7</v>
      </c>
    </row>
    <row r="49" customFormat="false" ht="15" hidden="false" customHeight="false" outlineLevel="0" collapsed="false">
      <c r="A49" s="6" t="n">
        <v>13</v>
      </c>
      <c r="B49" s="6" t="n">
        <f aca="false">COUNTIF(Data!$C$2:$C$301,A49)</f>
        <v>31</v>
      </c>
      <c r="C49" s="6" t="n">
        <f aca="false">COUNTIFS(Data!$C$2:$C$301,A49,Data!$F$2:$F$301,"Cancelled")</f>
        <v>5</v>
      </c>
      <c r="D49" s="7" t="n">
        <f aca="false">IFERROR(C49/B49,0)</f>
        <v>0.161290322580645</v>
      </c>
      <c r="E49" s="10" t="n">
        <f aca="false">IFERROR(AVERAGEIFS(Data!$N$2:$N$301,Data!$C$2:$C$301,A49,Data!$F$2:$F$301,"Delivered"),0)</f>
        <v>49.8846153846154</v>
      </c>
    </row>
    <row r="50" customFormat="false" ht="15" hidden="false" customHeight="false" outlineLevel="0" collapsed="false">
      <c r="A50" s="6" t="n">
        <v>14</v>
      </c>
      <c r="B50" s="6" t="n">
        <f aca="false">COUNTIF(Data!$C$2:$C$301,A50)</f>
        <v>32</v>
      </c>
      <c r="C50" s="6" t="n">
        <f aca="false">COUNTIFS(Data!$C$2:$C$301,A50,Data!$F$2:$F$301,"Cancelled")</f>
        <v>1</v>
      </c>
      <c r="D50" s="7" t="n">
        <f aca="false">IFERROR(C50/B50,0)</f>
        <v>0.03125</v>
      </c>
      <c r="E50" s="10" t="n">
        <f aca="false">IFERROR(AVERAGEIFS(Data!$N$2:$N$301,Data!$C$2:$C$301,A50,Data!$F$2:$F$301,"Delivered"),0)</f>
        <v>36.5806451612903</v>
      </c>
    </row>
    <row r="51" customFormat="false" ht="15" hidden="false" customHeight="false" outlineLevel="0" collapsed="false">
      <c r="A51" s="6" t="n">
        <v>15</v>
      </c>
      <c r="B51" s="6" t="n">
        <f aca="false">COUNTIF(Data!$C$2:$C$301,A51)</f>
        <v>16</v>
      </c>
      <c r="C51" s="6" t="n">
        <f aca="false">COUNTIFS(Data!$C$2:$C$301,A51,Data!$F$2:$F$301,"Cancelled")</f>
        <v>1</v>
      </c>
      <c r="D51" s="7" t="n">
        <f aca="false">IFERROR(C51/B51,0)</f>
        <v>0.0625</v>
      </c>
      <c r="E51" s="10" t="n">
        <f aca="false">IFERROR(AVERAGEIFS(Data!$N$2:$N$301,Data!$C$2:$C$301,A51,Data!$F$2:$F$301,"Delivered"),0)</f>
        <v>34.4</v>
      </c>
    </row>
    <row r="52" customFormat="false" ht="15" hidden="false" customHeight="false" outlineLevel="0" collapsed="false">
      <c r="A52" s="6" t="n">
        <v>16</v>
      </c>
      <c r="B52" s="6" t="n">
        <f aca="false">COUNTIF(Data!$C$2:$C$301,A52)</f>
        <v>12</v>
      </c>
      <c r="C52" s="6" t="n">
        <f aca="false">COUNTIFS(Data!$C$2:$C$301,A52,Data!$F$2:$F$301,"Cancelled")</f>
        <v>3</v>
      </c>
      <c r="D52" s="7" t="n">
        <f aca="false">IFERROR(C52/B52,0)</f>
        <v>0.25</v>
      </c>
      <c r="E52" s="10" t="n">
        <f aca="false">IFERROR(AVERAGEIFS(Data!$N$2:$N$301,Data!$C$2:$C$301,A52,Data!$F$2:$F$301,"Delivered"),0)</f>
        <v>27.8888888888889</v>
      </c>
    </row>
    <row r="53" customFormat="false" ht="15" hidden="false" customHeight="false" outlineLevel="0" collapsed="false">
      <c r="A53" s="6" t="n">
        <v>17</v>
      </c>
      <c r="B53" s="6" t="n">
        <f aca="false">COUNTIF(Data!$C$2:$C$301,A53)</f>
        <v>24</v>
      </c>
      <c r="C53" s="6" t="n">
        <f aca="false">COUNTIFS(Data!$C$2:$C$301,A53,Data!$F$2:$F$301,"Cancelled")</f>
        <v>2</v>
      </c>
      <c r="D53" s="7" t="n">
        <f aca="false">IFERROR(C53/B53,0)</f>
        <v>0.0833333333333333</v>
      </c>
      <c r="E53" s="10" t="n">
        <f aca="false">IFERROR(AVERAGEIFS(Data!$N$2:$N$301,Data!$C$2:$C$301,A53,Data!$F$2:$F$301,"Delivered"),0)</f>
        <v>34.4545454545455</v>
      </c>
    </row>
    <row r="54" customFormat="false" ht="15" hidden="false" customHeight="false" outlineLevel="0" collapsed="false">
      <c r="A54" s="6" t="n">
        <v>18</v>
      </c>
      <c r="B54" s="6" t="n">
        <f aca="false">COUNTIF(Data!$C$2:$C$301,A54)</f>
        <v>26</v>
      </c>
      <c r="C54" s="6" t="n">
        <f aca="false">COUNTIFS(Data!$C$2:$C$301,A54,Data!$F$2:$F$301,"Cancelled")</f>
        <v>1</v>
      </c>
      <c r="D54" s="7" t="n">
        <f aca="false">IFERROR(C54/B54,0)</f>
        <v>0.0384615384615385</v>
      </c>
      <c r="E54" s="10" t="n">
        <f aca="false">IFERROR(AVERAGEIFS(Data!$N$2:$N$301,Data!$C$2:$C$301,A54,Data!$F$2:$F$301,"Delivered"),0)</f>
        <v>33.6</v>
      </c>
    </row>
    <row r="55" customFormat="false" ht="15" hidden="false" customHeight="false" outlineLevel="0" collapsed="false">
      <c r="A55" s="6" t="n">
        <v>19</v>
      </c>
      <c r="B55" s="6" t="n">
        <f aca="false">COUNTIF(Data!$C$2:$C$301,A55)</f>
        <v>31</v>
      </c>
      <c r="C55" s="6" t="n">
        <f aca="false">COUNTIFS(Data!$C$2:$C$301,A55,Data!$F$2:$F$301,"Cancelled")</f>
        <v>4</v>
      </c>
      <c r="D55" s="7" t="n">
        <f aca="false">IFERROR(C55/B55,0)</f>
        <v>0.129032258064516</v>
      </c>
      <c r="E55" s="10" t="n">
        <f aca="false">IFERROR(AVERAGEIFS(Data!$N$2:$N$301,Data!$C$2:$C$301,A55,Data!$F$2:$F$301,"Delivered"),0)</f>
        <v>49.7037037037037</v>
      </c>
    </row>
    <row r="56" customFormat="false" ht="15" hidden="false" customHeight="false" outlineLevel="0" collapsed="false">
      <c r="A56" s="6" t="n">
        <v>20</v>
      </c>
      <c r="B56" s="6" t="n">
        <f aca="false">COUNTIF(Data!$C$2:$C$301,A56)</f>
        <v>23</v>
      </c>
      <c r="C56" s="6" t="n">
        <f aca="false">COUNTIFS(Data!$C$2:$C$301,A56,Data!$F$2:$F$301,"Cancelled")</f>
        <v>4</v>
      </c>
      <c r="D56" s="7" t="n">
        <f aca="false">IFERROR(C56/B56,0)</f>
        <v>0.173913043478261</v>
      </c>
      <c r="E56" s="10" t="n">
        <f aca="false">IFERROR(AVERAGEIFS(Data!$N$2:$N$301,Data!$C$2:$C$301,A56,Data!$F$2:$F$301,"Delivered"),0)</f>
        <v>44.1052631578947</v>
      </c>
    </row>
    <row r="57" customFormat="false" ht="15" hidden="false" customHeight="false" outlineLevel="0" collapsed="false">
      <c r="A57" s="6" t="n">
        <v>21</v>
      </c>
      <c r="B57" s="6" t="n">
        <f aca="false">COUNTIF(Data!$C$2:$C$301,A57)</f>
        <v>22</v>
      </c>
      <c r="C57" s="6" t="n">
        <f aca="false">COUNTIFS(Data!$C$2:$C$301,A57,Data!$F$2:$F$301,"Cancelled")</f>
        <v>1</v>
      </c>
      <c r="D57" s="7" t="n">
        <f aca="false">IFERROR(C57/B57,0)</f>
        <v>0.0454545454545455</v>
      </c>
      <c r="E57" s="10" t="n">
        <f aca="false">IFERROR(AVERAGEIFS(Data!$N$2:$N$301,Data!$C$2:$C$301,A57,Data!$F$2:$F$301,"Delivered"),0)</f>
        <v>52.5238095238095</v>
      </c>
    </row>
    <row r="58" customFormat="false" ht="15" hidden="false" customHeight="false" outlineLevel="0" collapsed="false">
      <c r="A58" s="6" t="n">
        <v>22</v>
      </c>
      <c r="B58" s="6" t="n">
        <f aca="false">COUNTIF(Data!$C$2:$C$301,A58)</f>
        <v>21</v>
      </c>
      <c r="C58" s="6" t="n">
        <f aca="false">COUNTIFS(Data!$C$2:$C$301,A58,Data!$F$2:$F$301,"Cancelled")</f>
        <v>2</v>
      </c>
      <c r="D58" s="7" t="n">
        <f aca="false">IFERROR(C58/B58,0)</f>
        <v>0.0952380952380952</v>
      </c>
      <c r="E58" s="10" t="n">
        <f aca="false">IFERROR(AVERAGEIFS(Data!$N$2:$N$301,Data!$C$2:$C$301,A58,Data!$F$2:$F$301,"Delivered"),0)</f>
        <v>36.3684210526316</v>
      </c>
    </row>
    <row r="59" customFormat="false" ht="15" hidden="false" customHeight="false" outlineLevel="0" collapsed="false">
      <c r="A59" s="6" t="n">
        <v>23</v>
      </c>
      <c r="B59" s="6" t="n">
        <f aca="false">COUNTIF(Data!$C$2:$C$301,A59)</f>
        <v>4</v>
      </c>
      <c r="C59" s="6" t="n">
        <f aca="false">COUNTIFS(Data!$C$2:$C$301,A59,Data!$F$2:$F$301,"Cancelled")</f>
        <v>0</v>
      </c>
      <c r="D59" s="7" t="n">
        <f aca="false">IFERROR(C59/B59,0)</f>
        <v>0</v>
      </c>
      <c r="E59" s="10" t="n">
        <f aca="false">IFERROR(AVERAGEIFS(Data!$N$2:$N$301,Data!$C$2:$C$301,A59,Data!$F$2:$F$301,"Delivered"),0)</f>
        <v>35.5</v>
      </c>
    </row>
    <row r="62" customFormat="false" ht="15" hidden="false" customHeight="false" outlineLevel="0" collapsed="false">
      <c r="A62" s="3" t="s">
        <v>55</v>
      </c>
    </row>
    <row r="63" customFormat="false" ht="15" hidden="false" customHeight="false" outlineLevel="0" collapsed="false">
      <c r="A63" s="4" t="s">
        <v>56</v>
      </c>
      <c r="B63" s="4" t="s">
        <v>20</v>
      </c>
      <c r="C63" s="4" t="s">
        <v>21</v>
      </c>
      <c r="D63" s="4" t="s">
        <v>22</v>
      </c>
      <c r="E63" s="4" t="s">
        <v>23</v>
      </c>
    </row>
    <row r="64" customFormat="false" ht="15" hidden="false" customHeight="false" outlineLevel="0" collapsed="false">
      <c r="A64" s="5" t="s">
        <v>57</v>
      </c>
      <c r="B64" s="6" t="n">
        <f aca="false">COUNTIF(Data!$E$2:$E$301,A64)</f>
        <v>42</v>
      </c>
      <c r="C64" s="7" t="n">
        <f aca="false">IFERROR(COUNTIFS(Data!$E$2:$E$301,A64,Data!$F$2:$F$301,"Cancelled")/B64,0)</f>
        <v>0.166666666666667</v>
      </c>
      <c r="D64" s="10" t="n">
        <f aca="false">IFERROR(AVERAGEIFS(Data!$N$2:$N$301,Data!$E$2:$E$301,A64,Data!$F$2:$F$301,"Delivered"),0)</f>
        <v>42.4571428571429</v>
      </c>
      <c r="E64" s="13" t="n">
        <f aca="false">IFERROR(AVERAGEIFS(Data!$O$2:$O$301,Data!$E$2:$E$301,A64),0)</f>
        <v>4.22857142857143</v>
      </c>
    </row>
    <row r="65" customFormat="false" ht="15" hidden="false" customHeight="false" outlineLevel="0" collapsed="false">
      <c r="A65" s="5" t="s">
        <v>58</v>
      </c>
      <c r="B65" s="6" t="n">
        <f aca="false">COUNTIF(Data!$E$2:$E$301,A65)</f>
        <v>42</v>
      </c>
      <c r="C65" s="7" t="n">
        <f aca="false">IFERROR(COUNTIFS(Data!$E$2:$E$301,A65,Data!$F$2:$F$301,"Cancelled")/B65,0)</f>
        <v>0.0952380952380952</v>
      </c>
      <c r="D65" s="10" t="n">
        <f aca="false">IFERROR(AVERAGEIFS(Data!$N$2:$N$301,Data!$E$2:$E$301,A65,Data!$F$2:$F$301,"Delivered"),0)</f>
        <v>39.9736842105263</v>
      </c>
      <c r="E65" s="13" t="n">
        <f aca="false">IFERROR(AVERAGEIFS(Data!$O$2:$O$301,Data!$E$2:$E$301,A65),0)</f>
        <v>4.3421052631579</v>
      </c>
    </row>
    <row r="66" customFormat="false" ht="15" hidden="false" customHeight="false" outlineLevel="0" collapsed="false">
      <c r="A66" s="5" t="s">
        <v>59</v>
      </c>
      <c r="B66" s="6" t="n">
        <f aca="false">COUNTIF(Data!$E$2:$E$301,A66)</f>
        <v>30</v>
      </c>
      <c r="C66" s="7" t="n">
        <f aca="false">IFERROR(COUNTIFS(Data!$E$2:$E$301,A66,Data!$F$2:$F$301,"Cancelled")/B66,0)</f>
        <v>0.166666666666667</v>
      </c>
      <c r="D66" s="10" t="n">
        <f aca="false">IFERROR(AVERAGEIFS(Data!$N$2:$N$301,Data!$E$2:$E$301,A66,Data!$F$2:$F$301,"Delivered"),0)</f>
        <v>38.24</v>
      </c>
      <c r="E66" s="13" t="n">
        <f aca="false">IFERROR(AVERAGEIFS(Data!$O$2:$O$301,Data!$E$2:$E$301,A66),0)</f>
        <v>4.12</v>
      </c>
    </row>
    <row r="67" customFormat="false" ht="15" hidden="false" customHeight="false" outlineLevel="0" collapsed="false">
      <c r="A67" s="5" t="s">
        <v>60</v>
      </c>
      <c r="B67" s="6" t="n">
        <f aca="false">COUNTIF(Data!$E$2:$E$301,A67)</f>
        <v>49</v>
      </c>
      <c r="C67" s="7" t="n">
        <f aca="false">IFERROR(COUNTIFS(Data!$E$2:$E$301,A67,Data!$F$2:$F$301,"Cancelled")/B67,0)</f>
        <v>0.0612244897959184</v>
      </c>
      <c r="D67" s="10" t="n">
        <f aca="false">IFERROR(AVERAGEIFS(Data!$N$2:$N$301,Data!$E$2:$E$301,A67,Data!$F$2:$F$301,"Delivered"),0)</f>
        <v>39.4347826086957</v>
      </c>
      <c r="E67" s="13" t="n">
        <f aca="false">IFERROR(AVERAGEIFS(Data!$O$2:$O$301,Data!$E$2:$E$301,A67),0)</f>
        <v>3.93478260869565</v>
      </c>
    </row>
    <row r="68" customFormat="false" ht="15" hidden="false" customHeight="false" outlineLevel="0" collapsed="false">
      <c r="A68" s="5" t="s">
        <v>61</v>
      </c>
      <c r="B68" s="6" t="n">
        <f aca="false">COUNTIF(Data!$E$2:$E$301,A68)</f>
        <v>38</v>
      </c>
      <c r="C68" s="7" t="n">
        <f aca="false">IFERROR(COUNTIFS(Data!$E$2:$E$301,A68,Data!$F$2:$F$301,"Cancelled")/B68,0)</f>
        <v>0.0789473684210526</v>
      </c>
      <c r="D68" s="10" t="n">
        <f aca="false">IFERROR(AVERAGEIFS(Data!$N$2:$N$301,Data!$E$2:$E$301,A68,Data!$F$2:$F$301,"Delivered"),0)</f>
        <v>41.4</v>
      </c>
      <c r="E68" s="13" t="n">
        <f aca="false">IFERROR(AVERAGEIFS(Data!$O$2:$O$301,Data!$E$2:$E$301,A68),0)</f>
        <v>4.2</v>
      </c>
    </row>
    <row r="69" customFormat="false" ht="15" hidden="false" customHeight="false" outlineLevel="0" collapsed="false">
      <c r="A69" s="5" t="s">
        <v>62</v>
      </c>
      <c r="B69" s="6" t="n">
        <f aca="false">COUNTIF(Data!$E$2:$E$301,A69)</f>
        <v>44</v>
      </c>
      <c r="C69" s="7" t="n">
        <f aca="false">IFERROR(COUNTIFS(Data!$E$2:$E$301,A69,Data!$F$2:$F$301,"Cancelled")/B69,0)</f>
        <v>0.113636363636364</v>
      </c>
      <c r="D69" s="10" t="n">
        <f aca="false">IFERROR(AVERAGEIFS(Data!$N$2:$N$301,Data!$E$2:$E$301,A69,Data!$F$2:$F$301,"Delivered"),0)</f>
        <v>39.6153846153846</v>
      </c>
      <c r="E69" s="13" t="n">
        <f aca="false">IFERROR(AVERAGEIFS(Data!$O$2:$O$301,Data!$E$2:$E$301,A69),0)</f>
        <v>4.02564102564103</v>
      </c>
    </row>
    <row r="70" customFormat="false" ht="15" hidden="false" customHeight="false" outlineLevel="0" collapsed="false">
      <c r="A70" s="5" t="s">
        <v>63</v>
      </c>
      <c r="B70" s="6" t="n">
        <f aca="false">COUNTIF(Data!$E$2:$E$301,A70)</f>
        <v>26</v>
      </c>
      <c r="C70" s="7" t="n">
        <f aca="false">IFERROR(COUNTIFS(Data!$E$2:$E$301,A70,Data!$F$2:$F$301,"Cancelled")/B70,0)</f>
        <v>0.0769230769230769</v>
      </c>
      <c r="D70" s="10" t="n">
        <f aca="false">IFERROR(AVERAGEIFS(Data!$N$2:$N$301,Data!$E$2:$E$301,A70,Data!$F$2:$F$301,"Delivered"),0)</f>
        <v>45.5</v>
      </c>
      <c r="E70" s="13" t="n">
        <f aca="false">IFERROR(AVERAGEIFS(Data!$O$2:$O$301,Data!$E$2:$E$301,A70),0)</f>
        <v>3.875</v>
      </c>
    </row>
    <row r="71" customFormat="false" ht="15" hidden="false" customHeight="false" outlineLevel="0" collapsed="false">
      <c r="A71" s="5" t="s">
        <v>64</v>
      </c>
      <c r="B71" s="6" t="n">
        <f aca="false">COUNTIF(Data!$E$2:$E$301,A71)</f>
        <v>29</v>
      </c>
      <c r="C71" s="7" t="n">
        <f aca="false">IFERROR(COUNTIFS(Data!$E$2:$E$301,A71,Data!$F$2:$F$301,"Cancelled")/B71,0)</f>
        <v>0.137931034482759</v>
      </c>
      <c r="D71" s="10" t="n">
        <f aca="false">IFERROR(AVERAGEIFS(Data!$N$2:$N$301,Data!$E$2:$E$301,A71,Data!$F$2:$F$301,"Delivered"),0)</f>
        <v>42.64</v>
      </c>
      <c r="E71" s="13" t="n">
        <f aca="false">IFERROR(AVERAGEIFS(Data!$O$2:$O$301,Data!$E$2:$E$301,A71),0)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13" min="8" style="0" width="13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0"/>
  </cols>
  <sheetData>
    <row r="1" customFormat="false" ht="42" hidden="false" customHeight="true" outlineLevel="0" collapsed="false">
      <c r="A1" s="22" t="s">
        <v>65</v>
      </c>
      <c r="B1" s="22" t="s">
        <v>66</v>
      </c>
      <c r="C1" s="22" t="s">
        <v>67</v>
      </c>
      <c r="D1" s="22" t="s">
        <v>68</v>
      </c>
      <c r="E1" s="22" t="s">
        <v>56</v>
      </c>
      <c r="F1" s="22" t="s">
        <v>69</v>
      </c>
      <c r="G1" s="22" t="s">
        <v>70</v>
      </c>
      <c r="H1" s="22" t="s">
        <v>71</v>
      </c>
      <c r="I1" s="22" t="s">
        <v>72</v>
      </c>
      <c r="J1" s="22" t="s">
        <v>73</v>
      </c>
      <c r="K1" s="22" t="s">
        <v>74</v>
      </c>
      <c r="L1" s="22" t="s">
        <v>75</v>
      </c>
      <c r="M1" s="22" t="s">
        <v>76</v>
      </c>
      <c r="N1" s="22" t="s">
        <v>77</v>
      </c>
      <c r="O1" s="22" t="s">
        <v>78</v>
      </c>
      <c r="P1" s="22" t="s">
        <v>79</v>
      </c>
      <c r="Q1" s="22" t="s">
        <v>80</v>
      </c>
    </row>
    <row r="2" customFormat="false" ht="15" hidden="false" customHeight="false" outlineLevel="0" collapsed="false">
      <c r="A2" s="23" t="s">
        <v>81</v>
      </c>
      <c r="B2" s="24" t="n">
        <v>46279</v>
      </c>
      <c r="C2" s="23" t="n">
        <v>11</v>
      </c>
      <c r="D2" s="23" t="str">
        <f aca="false">IF(OR(AND(C2&gt;=Assumptions!$B$5,C2&lt;=Assumptions!$B$6),AND(C2&gt;=Assumptions!$B$7,C2&lt;=Assumptions!$B$8)),"Peak","Off-peak")</f>
        <v>Off-peak</v>
      </c>
      <c r="E2" s="23" t="s">
        <v>60</v>
      </c>
      <c r="F2" s="23" t="s">
        <v>82</v>
      </c>
      <c r="G2" s="23"/>
      <c r="H2" s="23" t="n">
        <v>1</v>
      </c>
      <c r="I2" s="23" t="n">
        <v>14</v>
      </c>
      <c r="J2" s="23" t="n">
        <v>5</v>
      </c>
      <c r="K2" s="23" t="n">
        <v>6</v>
      </c>
      <c r="L2" s="23" t="n">
        <v>2</v>
      </c>
      <c r="M2" s="23" t="n">
        <v>9</v>
      </c>
      <c r="N2" s="23" t="n">
        <f aca="false">IF(F2="Delivered",SUM(H2:M2),"")</f>
        <v>37</v>
      </c>
      <c r="O2" s="23" t="n">
        <v>3</v>
      </c>
      <c r="P2" s="23" t="s">
        <v>83</v>
      </c>
      <c r="Q2" s="23" t="str">
        <f aca="false">IF(F2="Delivered",IF(N2&gt;Assumptions!$B$4,"Yes","No"),"")</f>
        <v>No</v>
      </c>
    </row>
    <row r="3" customFormat="false" ht="15" hidden="false" customHeight="false" outlineLevel="0" collapsed="false">
      <c r="A3" s="23" t="s">
        <v>84</v>
      </c>
      <c r="B3" s="24" t="n">
        <v>46279</v>
      </c>
      <c r="C3" s="23" t="n">
        <v>11</v>
      </c>
      <c r="D3" s="23" t="str">
        <f aca="false">IF(OR(AND(C3&gt;=Assumptions!$B$5,C3&lt;=Assumptions!$B$6),AND(C3&gt;=Assumptions!$B$7,C3&lt;=Assumptions!$B$8)),"Peak","Off-peak")</f>
        <v>Off-peak</v>
      </c>
      <c r="E3" s="23" t="s">
        <v>62</v>
      </c>
      <c r="F3" s="23" t="s">
        <v>82</v>
      </c>
      <c r="G3" s="23"/>
      <c r="H3" s="23" t="n">
        <v>2</v>
      </c>
      <c r="I3" s="23" t="n">
        <v>11</v>
      </c>
      <c r="J3" s="23" t="n">
        <v>3</v>
      </c>
      <c r="K3" s="23" t="n">
        <v>5</v>
      </c>
      <c r="L3" s="23" t="n">
        <v>3</v>
      </c>
      <c r="M3" s="23" t="n">
        <v>8</v>
      </c>
      <c r="N3" s="23" t="n">
        <f aca="false">IF(F3="Delivered",SUM(H3:M3),"")</f>
        <v>32</v>
      </c>
      <c r="O3" s="23" t="n">
        <v>5</v>
      </c>
      <c r="P3" s="23" t="s">
        <v>85</v>
      </c>
      <c r="Q3" s="23" t="str">
        <f aca="false">IF(F3="Delivered",IF(N3&gt;Assumptions!$B$4,"Yes","No"),"")</f>
        <v>No</v>
      </c>
    </row>
    <row r="4" customFormat="false" ht="15" hidden="false" customHeight="false" outlineLevel="0" collapsed="false">
      <c r="A4" s="23" t="s">
        <v>86</v>
      </c>
      <c r="B4" s="24" t="n">
        <v>46279</v>
      </c>
      <c r="C4" s="23" t="n">
        <v>11</v>
      </c>
      <c r="D4" s="23" t="str">
        <f aca="false">IF(OR(AND(C4&gt;=Assumptions!$B$5,C4&lt;=Assumptions!$B$6),AND(C4&gt;=Assumptions!$B$7,C4&lt;=Assumptions!$B$8)),"Peak","Off-peak")</f>
        <v>Off-peak</v>
      </c>
      <c r="E4" s="23" t="s">
        <v>62</v>
      </c>
      <c r="F4" s="23" t="s">
        <v>82</v>
      </c>
      <c r="G4" s="23"/>
      <c r="H4" s="23" t="n">
        <v>2</v>
      </c>
      <c r="I4" s="23" t="n">
        <v>8</v>
      </c>
      <c r="J4" s="23" t="n">
        <v>4</v>
      </c>
      <c r="K4" s="23" t="n">
        <v>5</v>
      </c>
      <c r="L4" s="23" t="n">
        <v>0</v>
      </c>
      <c r="M4" s="23" t="n">
        <v>5</v>
      </c>
      <c r="N4" s="23" t="n">
        <f aca="false">IF(F4="Delivered",SUM(H4:M4),"")</f>
        <v>24</v>
      </c>
      <c r="O4" s="23" t="n">
        <v>4</v>
      </c>
      <c r="P4" s="23" t="s">
        <v>87</v>
      </c>
      <c r="Q4" s="23" t="str">
        <f aca="false">IF(F4="Delivered",IF(N4&gt;Assumptions!$B$4,"Yes","No"),"")</f>
        <v>No</v>
      </c>
    </row>
    <row r="5" customFormat="false" ht="15" hidden="false" customHeight="false" outlineLevel="0" collapsed="false">
      <c r="A5" s="23" t="s">
        <v>88</v>
      </c>
      <c r="B5" s="24" t="n">
        <v>46279</v>
      </c>
      <c r="C5" s="23" t="n">
        <v>11</v>
      </c>
      <c r="D5" s="23" t="str">
        <f aca="false">IF(OR(AND(C5&gt;=Assumptions!$B$5,C5&lt;=Assumptions!$B$6),AND(C5&gt;=Assumptions!$B$7,C5&lt;=Assumptions!$B$8)),"Peak","Off-peak")</f>
        <v>Off-peak</v>
      </c>
      <c r="E5" s="23" t="s">
        <v>57</v>
      </c>
      <c r="F5" s="23" t="s">
        <v>82</v>
      </c>
      <c r="G5" s="23"/>
      <c r="H5" s="23" t="n">
        <v>3</v>
      </c>
      <c r="I5" s="23" t="n">
        <v>15</v>
      </c>
      <c r="J5" s="23" t="n">
        <v>2</v>
      </c>
      <c r="K5" s="23" t="n">
        <v>4</v>
      </c>
      <c r="L5" s="23" t="n">
        <v>1</v>
      </c>
      <c r="M5" s="23" t="n">
        <v>21</v>
      </c>
      <c r="N5" s="23" t="n">
        <f aca="false">IF(F5="Delivered",SUM(H5:M5),"")</f>
        <v>46</v>
      </c>
      <c r="O5" s="23" t="n">
        <v>5</v>
      </c>
      <c r="P5" s="23" t="s">
        <v>85</v>
      </c>
      <c r="Q5" s="23" t="str">
        <f aca="false">IF(F5="Delivered",IF(N5&gt;Assumptions!$B$4,"Yes","No"),"")</f>
        <v>Yes</v>
      </c>
    </row>
    <row r="6" customFormat="false" ht="15" hidden="false" customHeight="false" outlineLevel="0" collapsed="false">
      <c r="A6" s="23" t="s">
        <v>89</v>
      </c>
      <c r="B6" s="24" t="n">
        <v>46279</v>
      </c>
      <c r="C6" s="23" t="n">
        <v>12</v>
      </c>
      <c r="D6" s="23" t="str">
        <f aca="false">IF(OR(AND(C6&gt;=Assumptions!$B$5,C6&lt;=Assumptions!$B$6),AND(C6&gt;=Assumptions!$B$7,C6&lt;=Assumptions!$B$8)),"Peak","Off-peak")</f>
        <v>Peak</v>
      </c>
      <c r="E6" s="23" t="s">
        <v>62</v>
      </c>
      <c r="F6" s="23" t="s">
        <v>82</v>
      </c>
      <c r="G6" s="23"/>
      <c r="H6" s="23" t="n">
        <v>3</v>
      </c>
      <c r="I6" s="23" t="n">
        <v>22</v>
      </c>
      <c r="J6" s="23" t="n">
        <v>4</v>
      </c>
      <c r="K6" s="23" t="n">
        <v>9</v>
      </c>
      <c r="L6" s="23" t="n">
        <v>4</v>
      </c>
      <c r="M6" s="23" t="n">
        <v>13</v>
      </c>
      <c r="N6" s="23" t="n">
        <f aca="false">IF(F6="Delivered",SUM(H6:M6),"")</f>
        <v>55</v>
      </c>
      <c r="O6" s="23" t="n">
        <v>3</v>
      </c>
      <c r="P6" s="23" t="s">
        <v>85</v>
      </c>
      <c r="Q6" s="23" t="str">
        <f aca="false">IF(F6="Delivered",IF(N6&gt;Assumptions!$B$4,"Yes","No"),"")</f>
        <v>Yes</v>
      </c>
    </row>
    <row r="7" customFormat="false" ht="15" hidden="false" customHeight="false" outlineLevel="0" collapsed="false">
      <c r="A7" s="23" t="s">
        <v>90</v>
      </c>
      <c r="B7" s="24" t="n">
        <v>46279</v>
      </c>
      <c r="C7" s="23" t="n">
        <v>12</v>
      </c>
      <c r="D7" s="23" t="str">
        <f aca="false">IF(OR(AND(C7&gt;=Assumptions!$B$5,C7&lt;=Assumptions!$B$6),AND(C7&gt;=Assumptions!$B$7,C7&lt;=Assumptions!$B$8)),"Peak","Off-peak")</f>
        <v>Peak</v>
      </c>
      <c r="E7" s="23" t="s">
        <v>61</v>
      </c>
      <c r="F7" s="23" t="s">
        <v>82</v>
      </c>
      <c r="G7" s="23"/>
      <c r="H7" s="23" t="n">
        <v>6</v>
      </c>
      <c r="I7" s="23" t="n">
        <v>10</v>
      </c>
      <c r="J7" s="23" t="n">
        <v>7</v>
      </c>
      <c r="K7" s="23" t="n">
        <v>6</v>
      </c>
      <c r="L7" s="23" t="n">
        <v>3</v>
      </c>
      <c r="M7" s="23" t="n">
        <v>8</v>
      </c>
      <c r="N7" s="23" t="n">
        <f aca="false">IF(F7="Delivered",SUM(H7:M7),"")</f>
        <v>40</v>
      </c>
      <c r="O7" s="23" t="n">
        <v>4</v>
      </c>
      <c r="P7" s="23" t="s">
        <v>85</v>
      </c>
      <c r="Q7" s="23" t="str">
        <f aca="false">IF(F7="Delivered",IF(N7&gt;Assumptions!$B$4,"Yes","No"),"")</f>
        <v>No</v>
      </c>
    </row>
    <row r="8" customFormat="false" ht="15" hidden="false" customHeight="false" outlineLevel="0" collapsed="false">
      <c r="A8" s="23" t="s">
        <v>91</v>
      </c>
      <c r="B8" s="24" t="n">
        <v>46279</v>
      </c>
      <c r="C8" s="23" t="n">
        <v>13</v>
      </c>
      <c r="D8" s="23" t="str">
        <f aca="false">IF(OR(AND(C8&gt;=Assumptions!$B$5,C8&lt;=Assumptions!$B$6),AND(C8&gt;=Assumptions!$B$7,C8&lt;=Assumptions!$B$8)),"Peak","Off-peak")</f>
        <v>Peak</v>
      </c>
      <c r="E8" s="23" t="s">
        <v>57</v>
      </c>
      <c r="F8" s="23" t="s">
        <v>82</v>
      </c>
      <c r="G8" s="23"/>
      <c r="H8" s="23" t="n">
        <v>3</v>
      </c>
      <c r="I8" s="23" t="n">
        <v>16</v>
      </c>
      <c r="J8" s="23" t="n">
        <v>13</v>
      </c>
      <c r="K8" s="23" t="n">
        <v>2</v>
      </c>
      <c r="L8" s="23" t="n">
        <v>6</v>
      </c>
      <c r="M8" s="23" t="n">
        <v>17</v>
      </c>
      <c r="N8" s="23" t="n">
        <f aca="false">IF(F8="Delivered",SUM(H8:M8),"")</f>
        <v>57</v>
      </c>
      <c r="O8" s="23" t="n">
        <v>4</v>
      </c>
      <c r="P8" s="23" t="s">
        <v>85</v>
      </c>
      <c r="Q8" s="23" t="str">
        <f aca="false">IF(F8="Delivered",IF(N8&gt;Assumptions!$B$4,"Yes","No"),"")</f>
        <v>Yes</v>
      </c>
    </row>
    <row r="9" customFormat="false" ht="15" hidden="false" customHeight="false" outlineLevel="0" collapsed="false">
      <c r="A9" s="23" t="s">
        <v>92</v>
      </c>
      <c r="B9" s="24" t="n">
        <v>46279</v>
      </c>
      <c r="C9" s="23" t="n">
        <v>14</v>
      </c>
      <c r="D9" s="23" t="str">
        <f aca="false">IF(OR(AND(C9&gt;=Assumptions!$B$5,C9&lt;=Assumptions!$B$6),AND(C9&gt;=Assumptions!$B$7,C9&lt;=Assumptions!$B$8)),"Peak","Off-peak")</f>
        <v>Off-peak</v>
      </c>
      <c r="E9" s="23" t="s">
        <v>58</v>
      </c>
      <c r="F9" s="23" t="s">
        <v>82</v>
      </c>
      <c r="G9" s="23"/>
      <c r="H9" s="23" t="n">
        <v>1</v>
      </c>
      <c r="I9" s="23" t="n">
        <v>7</v>
      </c>
      <c r="J9" s="23" t="n">
        <v>2</v>
      </c>
      <c r="K9" s="23" t="n">
        <v>3</v>
      </c>
      <c r="L9" s="23" t="n">
        <v>1</v>
      </c>
      <c r="M9" s="23" t="n">
        <v>12</v>
      </c>
      <c r="N9" s="23" t="n">
        <f aca="false">IF(F9="Delivered",SUM(H9:M9),"")</f>
        <v>26</v>
      </c>
      <c r="O9" s="23" t="n">
        <v>5</v>
      </c>
      <c r="P9" s="23" t="s">
        <v>85</v>
      </c>
      <c r="Q9" s="23" t="str">
        <f aca="false">IF(F9="Delivered",IF(N9&gt;Assumptions!$B$4,"Yes","No"),"")</f>
        <v>No</v>
      </c>
    </row>
    <row r="10" customFormat="false" ht="15" hidden="false" customHeight="false" outlineLevel="0" collapsed="false">
      <c r="A10" s="23" t="s">
        <v>93</v>
      </c>
      <c r="B10" s="24" t="n">
        <v>46279</v>
      </c>
      <c r="C10" s="23" t="n">
        <v>14</v>
      </c>
      <c r="D10" s="23" t="str">
        <f aca="false">IF(OR(AND(C10&gt;=Assumptions!$B$5,C10&lt;=Assumptions!$B$6),AND(C10&gt;=Assumptions!$B$7,C10&lt;=Assumptions!$B$8)),"Peak","Off-peak")</f>
        <v>Off-peak</v>
      </c>
      <c r="E10" s="23" t="s">
        <v>60</v>
      </c>
      <c r="F10" s="23" t="s">
        <v>82</v>
      </c>
      <c r="G10" s="23"/>
      <c r="H10" s="23" t="n">
        <v>3</v>
      </c>
      <c r="I10" s="23" t="n">
        <v>14</v>
      </c>
      <c r="J10" s="23" t="n">
        <v>3</v>
      </c>
      <c r="K10" s="23" t="n">
        <v>4</v>
      </c>
      <c r="L10" s="23" t="n">
        <v>1</v>
      </c>
      <c r="M10" s="23" t="n">
        <v>10</v>
      </c>
      <c r="N10" s="23" t="n">
        <f aca="false">IF(F10="Delivered",SUM(H10:M10),"")</f>
        <v>35</v>
      </c>
      <c r="O10" s="23" t="n">
        <v>5</v>
      </c>
      <c r="P10" s="23" t="s">
        <v>85</v>
      </c>
      <c r="Q10" s="23" t="str">
        <f aca="false">IF(F10="Delivered",IF(N10&gt;Assumptions!$B$4,"Yes","No"),"")</f>
        <v>No</v>
      </c>
    </row>
    <row r="11" customFormat="false" ht="15" hidden="false" customHeight="false" outlineLevel="0" collapsed="false">
      <c r="A11" s="23" t="s">
        <v>94</v>
      </c>
      <c r="B11" s="24" t="n">
        <v>46279</v>
      </c>
      <c r="C11" s="23" t="n">
        <v>14</v>
      </c>
      <c r="D11" s="23" t="str">
        <f aca="false">IF(OR(AND(C11&gt;=Assumptions!$B$5,C11&lt;=Assumptions!$B$6),AND(C11&gt;=Assumptions!$B$7,C11&lt;=Assumptions!$B$8)),"Peak","Off-peak")</f>
        <v>Off-peak</v>
      </c>
      <c r="E11" s="23" t="s">
        <v>62</v>
      </c>
      <c r="F11" s="23" t="s">
        <v>82</v>
      </c>
      <c r="G11" s="23"/>
      <c r="H11" s="23" t="n">
        <v>1</v>
      </c>
      <c r="I11" s="23" t="n">
        <v>15</v>
      </c>
      <c r="J11" s="23" t="n">
        <v>3</v>
      </c>
      <c r="K11" s="23" t="n">
        <v>3</v>
      </c>
      <c r="L11" s="23" t="n">
        <v>1</v>
      </c>
      <c r="M11" s="23" t="n">
        <v>5</v>
      </c>
      <c r="N11" s="23" t="n">
        <f aca="false">IF(F11="Delivered",SUM(H11:M11),"")</f>
        <v>28</v>
      </c>
      <c r="O11" s="23" t="n">
        <v>4</v>
      </c>
      <c r="P11" s="23" t="s">
        <v>83</v>
      </c>
      <c r="Q11" s="23" t="str">
        <f aca="false">IF(F11="Delivered",IF(N11&gt;Assumptions!$B$4,"Yes","No"),"")</f>
        <v>No</v>
      </c>
    </row>
    <row r="12" customFormat="false" ht="15" hidden="false" customHeight="false" outlineLevel="0" collapsed="false">
      <c r="A12" s="23" t="s">
        <v>95</v>
      </c>
      <c r="B12" s="24" t="n">
        <v>46279</v>
      </c>
      <c r="C12" s="23" t="n">
        <v>14</v>
      </c>
      <c r="D12" s="23" t="str">
        <f aca="false">IF(OR(AND(C12&gt;=Assumptions!$B$5,C12&lt;=Assumptions!$B$6),AND(C12&gt;=Assumptions!$B$7,C12&lt;=Assumptions!$B$8)),"Peak","Off-peak")</f>
        <v>Off-peak</v>
      </c>
      <c r="E12" s="23" t="s">
        <v>58</v>
      </c>
      <c r="F12" s="23" t="s">
        <v>82</v>
      </c>
      <c r="G12" s="23"/>
      <c r="H12" s="23" t="n">
        <v>3</v>
      </c>
      <c r="I12" s="23" t="n">
        <v>14</v>
      </c>
      <c r="J12" s="23" t="n">
        <v>6</v>
      </c>
      <c r="K12" s="23" t="n">
        <v>8</v>
      </c>
      <c r="L12" s="23" t="n">
        <v>3</v>
      </c>
      <c r="M12" s="23" t="n">
        <v>5</v>
      </c>
      <c r="N12" s="23" t="n">
        <f aca="false">IF(F12="Delivered",SUM(H12:M12),"")</f>
        <v>39</v>
      </c>
      <c r="O12" s="23" t="n">
        <v>4</v>
      </c>
      <c r="P12" s="23" t="s">
        <v>85</v>
      </c>
      <c r="Q12" s="23" t="str">
        <f aca="false">IF(F12="Delivered",IF(N12&gt;Assumptions!$B$4,"Yes","No"),"")</f>
        <v>No</v>
      </c>
    </row>
    <row r="13" customFormat="false" ht="15" hidden="false" customHeight="false" outlineLevel="0" collapsed="false">
      <c r="A13" s="23" t="s">
        <v>96</v>
      </c>
      <c r="B13" s="24" t="n">
        <v>46279</v>
      </c>
      <c r="C13" s="23" t="n">
        <v>14</v>
      </c>
      <c r="D13" s="23" t="str">
        <f aca="false">IF(OR(AND(C13&gt;=Assumptions!$B$5,C13&lt;=Assumptions!$B$6),AND(C13&gt;=Assumptions!$B$7,C13&lt;=Assumptions!$B$8)),"Peak","Off-peak")</f>
        <v>Off-peak</v>
      </c>
      <c r="E13" s="23" t="s">
        <v>62</v>
      </c>
      <c r="F13" s="23" t="s">
        <v>82</v>
      </c>
      <c r="G13" s="23"/>
      <c r="H13" s="23" t="n">
        <v>1</v>
      </c>
      <c r="I13" s="23" t="n">
        <v>11</v>
      </c>
      <c r="J13" s="23" t="n">
        <v>2</v>
      </c>
      <c r="K13" s="23" t="n">
        <v>6</v>
      </c>
      <c r="L13" s="23" t="n">
        <v>1</v>
      </c>
      <c r="M13" s="23" t="n">
        <v>12</v>
      </c>
      <c r="N13" s="23" t="n">
        <f aca="false">IF(F13="Delivered",SUM(H13:M13),"")</f>
        <v>33</v>
      </c>
      <c r="O13" s="23" t="n">
        <v>4</v>
      </c>
      <c r="P13" s="23" t="s">
        <v>85</v>
      </c>
      <c r="Q13" s="23" t="str">
        <f aca="false">IF(F13="Delivered",IF(N13&gt;Assumptions!$B$4,"Yes","No"),"")</f>
        <v>No</v>
      </c>
    </row>
    <row r="14" customFormat="false" ht="15" hidden="false" customHeight="false" outlineLevel="0" collapsed="false">
      <c r="A14" s="23" t="s">
        <v>97</v>
      </c>
      <c r="B14" s="24" t="n">
        <v>46279</v>
      </c>
      <c r="C14" s="23" t="n">
        <v>16</v>
      </c>
      <c r="D14" s="23" t="str">
        <f aca="false">IF(OR(AND(C14&gt;=Assumptions!$B$5,C14&lt;=Assumptions!$B$6),AND(C14&gt;=Assumptions!$B$7,C14&lt;=Assumptions!$B$8)),"Peak","Off-peak")</f>
        <v>Off-peak</v>
      </c>
      <c r="E14" s="23" t="s">
        <v>60</v>
      </c>
      <c r="F14" s="23" t="s">
        <v>82</v>
      </c>
      <c r="G14" s="23"/>
      <c r="H14" s="23" t="n">
        <v>4</v>
      </c>
      <c r="I14" s="23" t="n">
        <v>6</v>
      </c>
      <c r="J14" s="23" t="n">
        <v>2</v>
      </c>
      <c r="K14" s="23" t="n">
        <v>6</v>
      </c>
      <c r="L14" s="23" t="n">
        <v>1</v>
      </c>
      <c r="M14" s="23" t="n">
        <v>7</v>
      </c>
      <c r="N14" s="23" t="n">
        <f aca="false">IF(F14="Delivered",SUM(H14:M14),"")</f>
        <v>26</v>
      </c>
      <c r="O14" s="23" t="n">
        <v>5</v>
      </c>
      <c r="P14" s="23" t="s">
        <v>85</v>
      </c>
      <c r="Q14" s="23" t="str">
        <f aca="false">IF(F14="Delivered",IF(N14&gt;Assumptions!$B$4,"Yes","No"),"")</f>
        <v>No</v>
      </c>
    </row>
    <row r="15" customFormat="false" ht="15" hidden="false" customHeight="false" outlineLevel="0" collapsed="false">
      <c r="A15" s="23" t="s">
        <v>98</v>
      </c>
      <c r="B15" s="24" t="n">
        <v>46279</v>
      </c>
      <c r="C15" s="23" t="n">
        <v>17</v>
      </c>
      <c r="D15" s="23" t="str">
        <f aca="false">IF(OR(AND(C15&gt;=Assumptions!$B$5,C15&lt;=Assumptions!$B$6),AND(C15&gt;=Assumptions!$B$7,C15&lt;=Assumptions!$B$8)),"Peak","Off-peak")</f>
        <v>Off-peak</v>
      </c>
      <c r="E15" s="23" t="s">
        <v>61</v>
      </c>
      <c r="F15" s="23" t="s">
        <v>82</v>
      </c>
      <c r="G15" s="23"/>
      <c r="H15" s="23" t="n">
        <v>6</v>
      </c>
      <c r="I15" s="23" t="n">
        <v>13</v>
      </c>
      <c r="J15" s="23" t="n">
        <v>5</v>
      </c>
      <c r="K15" s="23" t="n">
        <v>7</v>
      </c>
      <c r="L15" s="23" t="n">
        <v>3</v>
      </c>
      <c r="M15" s="23" t="n">
        <v>5</v>
      </c>
      <c r="N15" s="23" t="n">
        <f aca="false">IF(F15="Delivered",SUM(H15:M15),"")</f>
        <v>39</v>
      </c>
      <c r="O15" s="23" t="n">
        <v>4</v>
      </c>
      <c r="P15" s="23" t="s">
        <v>85</v>
      </c>
      <c r="Q15" s="23" t="str">
        <f aca="false">IF(F15="Delivered",IF(N15&gt;Assumptions!$B$4,"Yes","No"),"")</f>
        <v>No</v>
      </c>
    </row>
    <row r="16" customFormat="false" ht="15" hidden="false" customHeight="false" outlineLevel="0" collapsed="false">
      <c r="A16" s="23" t="s">
        <v>99</v>
      </c>
      <c r="B16" s="24" t="n">
        <v>46279</v>
      </c>
      <c r="C16" s="23" t="n">
        <v>18</v>
      </c>
      <c r="D16" s="23" t="str">
        <f aca="false">IF(OR(AND(C16&gt;=Assumptions!$B$5,C16&lt;=Assumptions!$B$6),AND(C16&gt;=Assumptions!$B$7,C16&lt;=Assumptions!$B$8)),"Peak","Off-peak")</f>
        <v>Off-peak</v>
      </c>
      <c r="E16" s="23" t="s">
        <v>64</v>
      </c>
      <c r="F16" s="23" t="s">
        <v>54</v>
      </c>
      <c r="G16" s="23" t="s">
        <v>46</v>
      </c>
      <c r="N16" s="23" t="str">
        <f aca="false">IF(F16="Delivered",SUM(H16:M16),"")</f>
        <v/>
      </c>
      <c r="Q16" s="23" t="str">
        <f aca="false">IF(F16="Delivered",IF(N16&gt;Assumptions!$B$4,"Yes","No"),"")</f>
        <v/>
      </c>
    </row>
    <row r="17" customFormat="false" ht="15" hidden="false" customHeight="false" outlineLevel="0" collapsed="false">
      <c r="A17" s="23" t="s">
        <v>100</v>
      </c>
      <c r="B17" s="24" t="n">
        <v>46279</v>
      </c>
      <c r="C17" s="23" t="n">
        <v>18</v>
      </c>
      <c r="D17" s="23" t="str">
        <f aca="false">IF(OR(AND(C17&gt;=Assumptions!$B$5,C17&lt;=Assumptions!$B$6),AND(C17&gt;=Assumptions!$B$7,C17&lt;=Assumptions!$B$8)),"Peak","Off-peak")</f>
        <v>Off-peak</v>
      </c>
      <c r="E17" s="23" t="s">
        <v>62</v>
      </c>
      <c r="F17" s="23" t="s">
        <v>82</v>
      </c>
      <c r="G17" s="23"/>
      <c r="H17" s="23" t="n">
        <v>1</v>
      </c>
      <c r="I17" s="23" t="n">
        <v>15</v>
      </c>
      <c r="J17" s="23" t="n">
        <v>9</v>
      </c>
      <c r="K17" s="23" t="n">
        <v>7</v>
      </c>
      <c r="L17" s="23" t="n">
        <v>1</v>
      </c>
      <c r="M17" s="23" t="n">
        <v>4</v>
      </c>
      <c r="N17" s="23" t="n">
        <f aca="false">IF(F17="Delivered",SUM(H17:M17),"")</f>
        <v>37</v>
      </c>
      <c r="O17" s="23" t="n">
        <v>4</v>
      </c>
      <c r="P17" s="23" t="s">
        <v>85</v>
      </c>
      <c r="Q17" s="23" t="str">
        <f aca="false">IF(F17="Delivered",IF(N17&gt;Assumptions!$B$4,"Yes","No"),"")</f>
        <v>No</v>
      </c>
    </row>
    <row r="18" customFormat="false" ht="15" hidden="false" customHeight="false" outlineLevel="0" collapsed="false">
      <c r="A18" s="23" t="s">
        <v>101</v>
      </c>
      <c r="B18" s="24" t="n">
        <v>46279</v>
      </c>
      <c r="C18" s="23" t="n">
        <v>18</v>
      </c>
      <c r="D18" s="23" t="str">
        <f aca="false">IF(OR(AND(C18&gt;=Assumptions!$B$5,C18&lt;=Assumptions!$B$6),AND(C18&gt;=Assumptions!$B$7,C18&lt;=Assumptions!$B$8)),"Peak","Off-peak")</f>
        <v>Off-peak</v>
      </c>
      <c r="E18" s="23" t="s">
        <v>63</v>
      </c>
      <c r="F18" s="23" t="s">
        <v>82</v>
      </c>
      <c r="G18" s="23"/>
      <c r="H18" s="23" t="n">
        <v>3</v>
      </c>
      <c r="I18" s="23" t="n">
        <v>16</v>
      </c>
      <c r="J18" s="23" t="n">
        <v>3</v>
      </c>
      <c r="K18" s="23" t="n">
        <v>7</v>
      </c>
      <c r="L18" s="23" t="n">
        <v>4</v>
      </c>
      <c r="M18" s="23" t="n">
        <v>11</v>
      </c>
      <c r="N18" s="23" t="n">
        <f aca="false">IF(F18="Delivered",SUM(H18:M18),"")</f>
        <v>44</v>
      </c>
      <c r="O18" s="23" t="n">
        <v>4</v>
      </c>
      <c r="P18" s="23" t="s">
        <v>85</v>
      </c>
      <c r="Q18" s="23" t="str">
        <f aca="false">IF(F18="Delivered",IF(N18&gt;Assumptions!$B$4,"Yes","No"),"")</f>
        <v>No</v>
      </c>
    </row>
    <row r="19" customFormat="false" ht="15" hidden="false" customHeight="false" outlineLevel="0" collapsed="false">
      <c r="A19" s="23" t="s">
        <v>102</v>
      </c>
      <c r="B19" s="24" t="n">
        <v>46279</v>
      </c>
      <c r="C19" s="23" t="n">
        <v>18</v>
      </c>
      <c r="D19" s="23" t="str">
        <f aca="false">IF(OR(AND(C19&gt;=Assumptions!$B$5,C19&lt;=Assumptions!$B$6),AND(C19&gt;=Assumptions!$B$7,C19&lt;=Assumptions!$B$8)),"Peak","Off-peak")</f>
        <v>Off-peak</v>
      </c>
      <c r="E19" s="23" t="s">
        <v>61</v>
      </c>
      <c r="F19" s="23" t="s">
        <v>82</v>
      </c>
      <c r="G19" s="23"/>
      <c r="H19" s="23" t="n">
        <v>4</v>
      </c>
      <c r="I19" s="23" t="n">
        <v>12</v>
      </c>
      <c r="J19" s="23" t="n">
        <v>5</v>
      </c>
      <c r="K19" s="23" t="n">
        <v>8</v>
      </c>
      <c r="L19" s="23" t="n">
        <v>1</v>
      </c>
      <c r="M19" s="23" t="n">
        <v>6</v>
      </c>
      <c r="N19" s="23" t="n">
        <f aca="false">IF(F19="Delivered",SUM(H19:M19),"")</f>
        <v>36</v>
      </c>
      <c r="O19" s="23" t="n">
        <v>5</v>
      </c>
      <c r="P19" s="23" t="s">
        <v>85</v>
      </c>
      <c r="Q19" s="23" t="str">
        <f aca="false">IF(F19="Delivered",IF(N19&gt;Assumptions!$B$4,"Yes","No"),"")</f>
        <v>No</v>
      </c>
    </row>
    <row r="20" customFormat="false" ht="15" hidden="false" customHeight="false" outlineLevel="0" collapsed="false">
      <c r="A20" s="23" t="s">
        <v>103</v>
      </c>
      <c r="B20" s="24" t="n">
        <v>46279</v>
      </c>
      <c r="C20" s="23" t="n">
        <v>19</v>
      </c>
      <c r="D20" s="23" t="str">
        <f aca="false">IF(OR(AND(C20&gt;=Assumptions!$B$5,C20&lt;=Assumptions!$B$6),AND(C20&gt;=Assumptions!$B$7,C20&lt;=Assumptions!$B$8)),"Peak","Off-peak")</f>
        <v>Peak</v>
      </c>
      <c r="E20" s="23" t="s">
        <v>60</v>
      </c>
      <c r="F20" s="23" t="s">
        <v>82</v>
      </c>
      <c r="G20" s="23"/>
      <c r="H20" s="23" t="n">
        <v>1</v>
      </c>
      <c r="I20" s="23" t="n">
        <v>14</v>
      </c>
      <c r="J20" s="23" t="n">
        <v>10</v>
      </c>
      <c r="K20" s="23" t="n">
        <v>9</v>
      </c>
      <c r="L20" s="23" t="n">
        <v>1</v>
      </c>
      <c r="M20" s="23" t="n">
        <v>7</v>
      </c>
      <c r="N20" s="23" t="n">
        <f aca="false">IF(F20="Delivered",SUM(H20:M20),"")</f>
        <v>42</v>
      </c>
      <c r="O20" s="23" t="n">
        <v>4</v>
      </c>
      <c r="P20" s="23" t="s">
        <v>85</v>
      </c>
      <c r="Q20" s="23" t="str">
        <f aca="false">IF(F20="Delivered",IF(N20&gt;Assumptions!$B$4,"Yes","No"),"")</f>
        <v>No</v>
      </c>
    </row>
    <row r="21" customFormat="false" ht="15" hidden="false" customHeight="false" outlineLevel="0" collapsed="false">
      <c r="A21" s="23" t="s">
        <v>104</v>
      </c>
      <c r="B21" s="24" t="n">
        <v>46279</v>
      </c>
      <c r="C21" s="23" t="n">
        <v>20</v>
      </c>
      <c r="D21" s="23" t="str">
        <f aca="false">IF(OR(AND(C21&gt;=Assumptions!$B$5,C21&lt;=Assumptions!$B$6),AND(C21&gt;=Assumptions!$B$7,C21&lt;=Assumptions!$B$8)),"Peak","Off-peak")</f>
        <v>Peak</v>
      </c>
      <c r="E21" s="23" t="s">
        <v>58</v>
      </c>
      <c r="F21" s="23" t="s">
        <v>82</v>
      </c>
      <c r="G21" s="23"/>
      <c r="H21" s="23" t="n">
        <v>7</v>
      </c>
      <c r="I21" s="23" t="n">
        <v>13</v>
      </c>
      <c r="J21" s="23" t="n">
        <v>4</v>
      </c>
      <c r="K21" s="23" t="n">
        <v>5</v>
      </c>
      <c r="L21" s="23" t="n">
        <v>6</v>
      </c>
      <c r="M21" s="23" t="n">
        <v>6</v>
      </c>
      <c r="N21" s="23" t="n">
        <f aca="false">IF(F21="Delivered",SUM(H21:M21),"")</f>
        <v>41</v>
      </c>
      <c r="O21" s="23" t="n">
        <v>4</v>
      </c>
      <c r="P21" s="23" t="s">
        <v>85</v>
      </c>
      <c r="Q21" s="23" t="str">
        <f aca="false">IF(F21="Delivered",IF(N21&gt;Assumptions!$B$4,"Yes","No"),"")</f>
        <v>No</v>
      </c>
    </row>
    <row r="22" customFormat="false" ht="15" hidden="false" customHeight="false" outlineLevel="0" collapsed="false">
      <c r="A22" s="23" t="s">
        <v>105</v>
      </c>
      <c r="B22" s="24" t="n">
        <v>46279</v>
      </c>
      <c r="C22" s="23" t="n">
        <v>21</v>
      </c>
      <c r="D22" s="23" t="str">
        <f aca="false">IF(OR(AND(C22&gt;=Assumptions!$B$5,C22&lt;=Assumptions!$B$6),AND(C22&gt;=Assumptions!$B$7,C22&lt;=Assumptions!$B$8)),"Peak","Off-peak")</f>
        <v>Peak</v>
      </c>
      <c r="E22" s="23" t="s">
        <v>57</v>
      </c>
      <c r="F22" s="23" t="s">
        <v>82</v>
      </c>
      <c r="G22" s="23"/>
      <c r="H22" s="23" t="n">
        <v>9</v>
      </c>
      <c r="I22" s="23" t="n">
        <v>22</v>
      </c>
      <c r="J22" s="23" t="n">
        <v>8</v>
      </c>
      <c r="K22" s="23" t="n">
        <v>8</v>
      </c>
      <c r="L22" s="23" t="n">
        <v>3</v>
      </c>
      <c r="M22" s="23" t="n">
        <v>18</v>
      </c>
      <c r="N22" s="23" t="n">
        <f aca="false">IF(F22="Delivered",SUM(H22:M22),"")</f>
        <v>68</v>
      </c>
      <c r="O22" s="23" t="n">
        <v>4</v>
      </c>
      <c r="P22" s="23" t="s">
        <v>85</v>
      </c>
      <c r="Q22" s="23" t="str">
        <f aca="false">IF(F22="Delivered",IF(N22&gt;Assumptions!$B$4,"Yes","No"),"")</f>
        <v>Yes</v>
      </c>
    </row>
    <row r="23" customFormat="false" ht="15" hidden="false" customHeight="false" outlineLevel="0" collapsed="false">
      <c r="A23" s="23" t="s">
        <v>106</v>
      </c>
      <c r="B23" s="24" t="n">
        <v>46279</v>
      </c>
      <c r="C23" s="23" t="n">
        <v>21</v>
      </c>
      <c r="D23" s="23" t="str">
        <f aca="false">IF(OR(AND(C23&gt;=Assumptions!$B$5,C23&lt;=Assumptions!$B$6),AND(C23&gt;=Assumptions!$B$7,C23&lt;=Assumptions!$B$8)),"Peak","Off-peak")</f>
        <v>Peak</v>
      </c>
      <c r="E23" s="23" t="s">
        <v>57</v>
      </c>
      <c r="F23" s="23" t="s">
        <v>82</v>
      </c>
      <c r="G23" s="23"/>
      <c r="H23" s="23" t="n">
        <v>5</v>
      </c>
      <c r="I23" s="23" t="n">
        <v>17</v>
      </c>
      <c r="J23" s="23" t="n">
        <v>4</v>
      </c>
      <c r="K23" s="23" t="n">
        <v>13</v>
      </c>
      <c r="L23" s="23" t="n">
        <v>9</v>
      </c>
      <c r="M23" s="23" t="n">
        <v>11</v>
      </c>
      <c r="N23" s="23" t="n">
        <f aca="false">IF(F23="Delivered",SUM(H23:M23),"")</f>
        <v>59</v>
      </c>
      <c r="O23" s="23" t="n">
        <v>4</v>
      </c>
      <c r="P23" s="23" t="s">
        <v>85</v>
      </c>
      <c r="Q23" s="23" t="str">
        <f aca="false">IF(F23="Delivered",IF(N23&gt;Assumptions!$B$4,"Yes","No"),"")</f>
        <v>Yes</v>
      </c>
    </row>
    <row r="24" customFormat="false" ht="15" hidden="false" customHeight="false" outlineLevel="0" collapsed="false">
      <c r="A24" s="23" t="s">
        <v>107</v>
      </c>
      <c r="B24" s="24" t="n">
        <v>46279</v>
      </c>
      <c r="C24" s="23" t="n">
        <v>22</v>
      </c>
      <c r="D24" s="23" t="str">
        <f aca="false">IF(OR(AND(C24&gt;=Assumptions!$B$5,C24&lt;=Assumptions!$B$6),AND(C24&gt;=Assumptions!$B$7,C24&lt;=Assumptions!$B$8)),"Peak","Off-peak")</f>
        <v>Off-peak</v>
      </c>
      <c r="E24" s="23" t="s">
        <v>61</v>
      </c>
      <c r="F24" s="23" t="s">
        <v>82</v>
      </c>
      <c r="G24" s="23"/>
      <c r="H24" s="23" t="n">
        <v>1</v>
      </c>
      <c r="I24" s="23" t="n">
        <v>9</v>
      </c>
      <c r="J24" s="23" t="n">
        <v>6</v>
      </c>
      <c r="K24" s="23" t="n">
        <v>4</v>
      </c>
      <c r="L24" s="23" t="n">
        <v>1</v>
      </c>
      <c r="M24" s="23" t="n">
        <v>5</v>
      </c>
      <c r="N24" s="23" t="n">
        <f aca="false">IF(F24="Delivered",SUM(H24:M24),"")</f>
        <v>26</v>
      </c>
      <c r="O24" s="23" t="n">
        <v>5</v>
      </c>
      <c r="P24" s="23" t="s">
        <v>85</v>
      </c>
      <c r="Q24" s="23" t="str">
        <f aca="false">IF(F24="Delivered",IF(N24&gt;Assumptions!$B$4,"Yes","No"),"")</f>
        <v>No</v>
      </c>
    </row>
    <row r="25" customFormat="false" ht="15" hidden="false" customHeight="false" outlineLevel="0" collapsed="false">
      <c r="A25" s="23" t="s">
        <v>108</v>
      </c>
      <c r="B25" s="24" t="n">
        <v>46279</v>
      </c>
      <c r="C25" s="23" t="n">
        <v>22</v>
      </c>
      <c r="D25" s="23" t="str">
        <f aca="false">IF(OR(AND(C25&gt;=Assumptions!$B$5,C25&lt;=Assumptions!$B$6),AND(C25&gt;=Assumptions!$B$7,C25&lt;=Assumptions!$B$8)),"Peak","Off-peak")</f>
        <v>Off-peak</v>
      </c>
      <c r="E25" s="23" t="s">
        <v>58</v>
      </c>
      <c r="F25" s="23" t="s">
        <v>82</v>
      </c>
      <c r="G25" s="23"/>
      <c r="H25" s="23" t="n">
        <v>2</v>
      </c>
      <c r="I25" s="23" t="n">
        <v>12</v>
      </c>
      <c r="J25" s="23" t="n">
        <v>4</v>
      </c>
      <c r="K25" s="23" t="n">
        <v>7</v>
      </c>
      <c r="L25" s="23" t="n">
        <v>1</v>
      </c>
      <c r="M25" s="23" t="n">
        <v>6</v>
      </c>
      <c r="N25" s="23" t="n">
        <f aca="false">IF(F25="Delivered",SUM(H25:M25),"")</f>
        <v>32</v>
      </c>
      <c r="O25" s="23" t="n">
        <v>5</v>
      </c>
      <c r="P25" s="23" t="s">
        <v>85</v>
      </c>
      <c r="Q25" s="23" t="str">
        <f aca="false">IF(F25="Delivered",IF(N25&gt;Assumptions!$B$4,"Yes","No"),"")</f>
        <v>No</v>
      </c>
    </row>
    <row r="26" customFormat="false" ht="15" hidden="false" customHeight="false" outlineLevel="0" collapsed="false">
      <c r="A26" s="23" t="s">
        <v>109</v>
      </c>
      <c r="B26" s="24" t="n">
        <v>46279</v>
      </c>
      <c r="C26" s="23" t="n">
        <v>22</v>
      </c>
      <c r="D26" s="23" t="str">
        <f aca="false">IF(OR(AND(C26&gt;=Assumptions!$B$5,C26&lt;=Assumptions!$B$6),AND(C26&gt;=Assumptions!$B$7,C26&lt;=Assumptions!$B$8)),"Peak","Off-peak")</f>
        <v>Off-peak</v>
      </c>
      <c r="E26" s="23" t="s">
        <v>58</v>
      </c>
      <c r="F26" s="23" t="s">
        <v>54</v>
      </c>
      <c r="G26" s="23" t="s">
        <v>45</v>
      </c>
      <c r="N26" s="23" t="str">
        <f aca="false">IF(F26="Delivered",SUM(H26:M26),"")</f>
        <v/>
      </c>
      <c r="Q26" s="23" t="str">
        <f aca="false">IF(F26="Delivered",IF(N26&gt;Assumptions!$B$4,"Yes","No"),"")</f>
        <v/>
      </c>
    </row>
    <row r="27" customFormat="false" ht="15" hidden="false" customHeight="false" outlineLevel="0" collapsed="false">
      <c r="A27" s="23" t="s">
        <v>110</v>
      </c>
      <c r="B27" s="24" t="n">
        <v>46279</v>
      </c>
      <c r="C27" s="23" t="n">
        <v>22</v>
      </c>
      <c r="D27" s="23" t="str">
        <f aca="false">IF(OR(AND(C27&gt;=Assumptions!$B$5,C27&lt;=Assumptions!$B$6),AND(C27&gt;=Assumptions!$B$7,C27&lt;=Assumptions!$B$8)),"Peak","Off-peak")</f>
        <v>Off-peak</v>
      </c>
      <c r="E27" s="23" t="s">
        <v>63</v>
      </c>
      <c r="F27" s="23" t="s">
        <v>82</v>
      </c>
      <c r="G27" s="23"/>
      <c r="H27" s="23" t="n">
        <v>3</v>
      </c>
      <c r="I27" s="23" t="n">
        <v>13</v>
      </c>
      <c r="J27" s="23" t="n">
        <v>4</v>
      </c>
      <c r="K27" s="23" t="n">
        <v>9</v>
      </c>
      <c r="L27" s="23" t="n">
        <v>2</v>
      </c>
      <c r="M27" s="23" t="n">
        <v>16</v>
      </c>
      <c r="N27" s="23" t="n">
        <f aca="false">IF(F27="Delivered",SUM(H27:M27),"")</f>
        <v>47</v>
      </c>
      <c r="O27" s="23" t="n">
        <v>3</v>
      </c>
      <c r="P27" s="23" t="s">
        <v>85</v>
      </c>
      <c r="Q27" s="23" t="str">
        <f aca="false">IF(F27="Delivered",IF(N27&gt;Assumptions!$B$4,"Yes","No"),"")</f>
        <v>Yes</v>
      </c>
    </row>
    <row r="28" customFormat="false" ht="15" hidden="false" customHeight="false" outlineLevel="0" collapsed="false">
      <c r="A28" s="23" t="s">
        <v>111</v>
      </c>
      <c r="B28" s="24" t="n">
        <v>46280</v>
      </c>
      <c r="C28" s="23" t="n">
        <v>10</v>
      </c>
      <c r="D28" s="23" t="str">
        <f aca="false">IF(OR(AND(C28&gt;=Assumptions!$B$5,C28&lt;=Assumptions!$B$6),AND(C28&gt;=Assumptions!$B$7,C28&lt;=Assumptions!$B$8)),"Peak","Off-peak")</f>
        <v>Off-peak</v>
      </c>
      <c r="E28" s="23" t="s">
        <v>61</v>
      </c>
      <c r="F28" s="23" t="s">
        <v>82</v>
      </c>
      <c r="G28" s="23"/>
      <c r="H28" s="23" t="n">
        <v>1</v>
      </c>
      <c r="I28" s="23" t="n">
        <v>10</v>
      </c>
      <c r="J28" s="23" t="n">
        <v>3</v>
      </c>
      <c r="K28" s="23" t="n">
        <v>5</v>
      </c>
      <c r="L28" s="23" t="n">
        <v>3</v>
      </c>
      <c r="M28" s="23" t="n">
        <v>10</v>
      </c>
      <c r="N28" s="23" t="n">
        <f aca="false">IF(F28="Delivered",SUM(H28:M28),"")</f>
        <v>32</v>
      </c>
      <c r="O28" s="23" t="n">
        <v>5</v>
      </c>
      <c r="P28" s="23" t="s">
        <v>85</v>
      </c>
      <c r="Q28" s="23" t="str">
        <f aca="false">IF(F28="Delivered",IF(N28&gt;Assumptions!$B$4,"Yes","No"),"")</f>
        <v>No</v>
      </c>
    </row>
    <row r="29" customFormat="false" ht="15" hidden="false" customHeight="false" outlineLevel="0" collapsed="false">
      <c r="A29" s="23" t="s">
        <v>112</v>
      </c>
      <c r="B29" s="24" t="n">
        <v>46280</v>
      </c>
      <c r="C29" s="23" t="n">
        <v>10</v>
      </c>
      <c r="D29" s="23" t="str">
        <f aca="false">IF(OR(AND(C29&gt;=Assumptions!$B$5,C29&lt;=Assumptions!$B$6),AND(C29&gt;=Assumptions!$B$7,C29&lt;=Assumptions!$B$8)),"Peak","Off-peak")</f>
        <v>Off-peak</v>
      </c>
      <c r="E29" s="23" t="s">
        <v>64</v>
      </c>
      <c r="F29" s="23" t="s">
        <v>82</v>
      </c>
      <c r="G29" s="23"/>
      <c r="H29" s="23" t="n">
        <v>1</v>
      </c>
      <c r="I29" s="23" t="n">
        <v>4</v>
      </c>
      <c r="J29" s="23" t="n">
        <v>2</v>
      </c>
      <c r="K29" s="23" t="n">
        <v>16</v>
      </c>
      <c r="L29" s="23" t="n">
        <v>0</v>
      </c>
      <c r="M29" s="23" t="n">
        <v>14</v>
      </c>
      <c r="N29" s="23" t="n">
        <f aca="false">IF(F29="Delivered",SUM(H29:M29),"")</f>
        <v>37</v>
      </c>
      <c r="O29" s="23" t="n">
        <v>5</v>
      </c>
      <c r="P29" s="23" t="s">
        <v>85</v>
      </c>
      <c r="Q29" s="23" t="str">
        <f aca="false">IF(F29="Delivered",IF(N29&gt;Assumptions!$B$4,"Yes","No"),"")</f>
        <v>No</v>
      </c>
    </row>
    <row r="30" customFormat="false" ht="15" hidden="false" customHeight="false" outlineLevel="0" collapsed="false">
      <c r="A30" s="23" t="s">
        <v>113</v>
      </c>
      <c r="B30" s="24" t="n">
        <v>46280</v>
      </c>
      <c r="C30" s="23" t="n">
        <v>10</v>
      </c>
      <c r="D30" s="23" t="str">
        <f aca="false">IF(OR(AND(C30&gt;=Assumptions!$B$5,C30&lt;=Assumptions!$B$6),AND(C30&gt;=Assumptions!$B$7,C30&lt;=Assumptions!$B$8)),"Peak","Off-peak")</f>
        <v>Off-peak</v>
      </c>
      <c r="E30" s="23" t="s">
        <v>63</v>
      </c>
      <c r="F30" s="23" t="s">
        <v>82</v>
      </c>
      <c r="G30" s="23"/>
      <c r="H30" s="23" t="n">
        <v>2</v>
      </c>
      <c r="I30" s="23" t="n">
        <v>13</v>
      </c>
      <c r="J30" s="23" t="n">
        <v>2</v>
      </c>
      <c r="K30" s="23" t="n">
        <v>11</v>
      </c>
      <c r="L30" s="23" t="n">
        <v>1</v>
      </c>
      <c r="M30" s="23" t="n">
        <v>11</v>
      </c>
      <c r="N30" s="23" t="n">
        <f aca="false">IF(F30="Delivered",SUM(H30:M30),"")</f>
        <v>40</v>
      </c>
      <c r="O30" s="23" t="n">
        <v>4</v>
      </c>
      <c r="P30" s="23" t="s">
        <v>85</v>
      </c>
      <c r="Q30" s="23" t="str">
        <f aca="false">IF(F30="Delivered",IF(N30&gt;Assumptions!$B$4,"Yes","No"),"")</f>
        <v>No</v>
      </c>
    </row>
    <row r="31" customFormat="false" ht="15" hidden="false" customHeight="false" outlineLevel="0" collapsed="false">
      <c r="A31" s="23" t="s">
        <v>114</v>
      </c>
      <c r="B31" s="24" t="n">
        <v>46280</v>
      </c>
      <c r="C31" s="23" t="n">
        <v>11</v>
      </c>
      <c r="D31" s="23" t="str">
        <f aca="false">IF(OR(AND(C31&gt;=Assumptions!$B$5,C31&lt;=Assumptions!$B$6),AND(C31&gt;=Assumptions!$B$7,C31&lt;=Assumptions!$B$8)),"Peak","Off-peak")</f>
        <v>Off-peak</v>
      </c>
      <c r="E31" s="23" t="s">
        <v>62</v>
      </c>
      <c r="F31" s="23" t="s">
        <v>82</v>
      </c>
      <c r="G31" s="23"/>
      <c r="H31" s="23" t="n">
        <v>4</v>
      </c>
      <c r="I31" s="23" t="n">
        <v>12</v>
      </c>
      <c r="J31" s="23" t="n">
        <v>2</v>
      </c>
      <c r="K31" s="23" t="n">
        <v>10</v>
      </c>
      <c r="L31" s="23" t="n">
        <v>2</v>
      </c>
      <c r="M31" s="23" t="n">
        <v>6</v>
      </c>
      <c r="N31" s="23" t="n">
        <f aca="false">IF(F31="Delivered",SUM(H31:M31),"")</f>
        <v>36</v>
      </c>
      <c r="O31" s="23" t="n">
        <v>5</v>
      </c>
      <c r="P31" s="23" t="s">
        <v>85</v>
      </c>
      <c r="Q31" s="23" t="str">
        <f aca="false">IF(F31="Delivered",IF(N31&gt;Assumptions!$B$4,"Yes","No"),"")</f>
        <v>No</v>
      </c>
    </row>
    <row r="32" customFormat="false" ht="15" hidden="false" customHeight="false" outlineLevel="0" collapsed="false">
      <c r="A32" s="23" t="s">
        <v>115</v>
      </c>
      <c r="B32" s="24" t="n">
        <v>46280</v>
      </c>
      <c r="C32" s="23" t="n">
        <v>12</v>
      </c>
      <c r="D32" s="23" t="str">
        <f aca="false">IF(OR(AND(C32&gt;=Assumptions!$B$5,C32&lt;=Assumptions!$B$6),AND(C32&gt;=Assumptions!$B$7,C32&lt;=Assumptions!$B$8)),"Peak","Off-peak")</f>
        <v>Peak</v>
      </c>
      <c r="E32" s="23" t="s">
        <v>57</v>
      </c>
      <c r="F32" s="23" t="s">
        <v>82</v>
      </c>
      <c r="G32" s="23"/>
      <c r="H32" s="23" t="n">
        <v>4</v>
      </c>
      <c r="I32" s="23" t="n">
        <v>19</v>
      </c>
      <c r="J32" s="23" t="n">
        <v>7</v>
      </c>
      <c r="K32" s="23" t="n">
        <v>5</v>
      </c>
      <c r="L32" s="23" t="n">
        <v>7</v>
      </c>
      <c r="M32" s="23" t="n">
        <v>6</v>
      </c>
      <c r="N32" s="23" t="n">
        <f aca="false">IF(F32="Delivered",SUM(H32:M32),"")</f>
        <v>48</v>
      </c>
      <c r="O32" s="23" t="n">
        <v>4</v>
      </c>
      <c r="P32" s="23" t="s">
        <v>85</v>
      </c>
      <c r="Q32" s="23" t="str">
        <f aca="false">IF(F32="Delivered",IF(N32&gt;Assumptions!$B$4,"Yes","No"),"")</f>
        <v>Yes</v>
      </c>
    </row>
    <row r="33" customFormat="false" ht="15" hidden="false" customHeight="false" outlineLevel="0" collapsed="false">
      <c r="A33" s="23" t="s">
        <v>116</v>
      </c>
      <c r="B33" s="24" t="n">
        <v>46280</v>
      </c>
      <c r="C33" s="23" t="n">
        <v>12</v>
      </c>
      <c r="D33" s="23" t="str">
        <f aca="false">IF(OR(AND(C33&gt;=Assumptions!$B$5,C33&lt;=Assumptions!$B$6),AND(C33&gt;=Assumptions!$B$7,C33&lt;=Assumptions!$B$8)),"Peak","Off-peak")</f>
        <v>Peak</v>
      </c>
      <c r="E33" s="23" t="s">
        <v>62</v>
      </c>
      <c r="F33" s="23" t="s">
        <v>54</v>
      </c>
      <c r="G33" s="23" t="s">
        <v>47</v>
      </c>
      <c r="N33" s="23" t="str">
        <f aca="false">IF(F33="Delivered",SUM(H33:M33),"")</f>
        <v/>
      </c>
      <c r="Q33" s="23" t="str">
        <f aca="false">IF(F33="Delivered",IF(N33&gt;Assumptions!$B$4,"Yes","No"),"")</f>
        <v/>
      </c>
    </row>
    <row r="34" customFormat="false" ht="15" hidden="false" customHeight="false" outlineLevel="0" collapsed="false">
      <c r="A34" s="23" t="s">
        <v>117</v>
      </c>
      <c r="B34" s="24" t="n">
        <v>46280</v>
      </c>
      <c r="C34" s="23" t="n">
        <v>13</v>
      </c>
      <c r="D34" s="23" t="str">
        <f aca="false">IF(OR(AND(C34&gt;=Assumptions!$B$5,C34&lt;=Assumptions!$B$6),AND(C34&gt;=Assumptions!$B$7,C34&lt;=Assumptions!$B$8)),"Peak","Off-peak")</f>
        <v>Peak</v>
      </c>
      <c r="E34" s="23" t="s">
        <v>64</v>
      </c>
      <c r="F34" s="23" t="s">
        <v>82</v>
      </c>
      <c r="G34" s="23"/>
      <c r="H34" s="23" t="n">
        <v>5</v>
      </c>
      <c r="I34" s="23" t="n">
        <v>21</v>
      </c>
      <c r="J34" s="23" t="n">
        <v>5</v>
      </c>
      <c r="K34" s="23" t="n">
        <v>14</v>
      </c>
      <c r="L34" s="23" t="n">
        <v>3</v>
      </c>
      <c r="M34" s="23" t="n">
        <v>5</v>
      </c>
      <c r="N34" s="23" t="n">
        <f aca="false">IF(F34="Delivered",SUM(H34:M34),"")</f>
        <v>53</v>
      </c>
      <c r="O34" s="23" t="n">
        <v>4</v>
      </c>
      <c r="P34" s="23" t="s">
        <v>85</v>
      </c>
      <c r="Q34" s="23" t="str">
        <f aca="false">IF(F34="Delivered",IF(N34&gt;Assumptions!$B$4,"Yes","No"),"")</f>
        <v>Yes</v>
      </c>
    </row>
    <row r="35" customFormat="false" ht="15" hidden="false" customHeight="false" outlineLevel="0" collapsed="false">
      <c r="A35" s="23" t="s">
        <v>118</v>
      </c>
      <c r="B35" s="24" t="n">
        <v>46280</v>
      </c>
      <c r="C35" s="23" t="n">
        <v>15</v>
      </c>
      <c r="D35" s="23" t="str">
        <f aca="false">IF(OR(AND(C35&gt;=Assumptions!$B$5,C35&lt;=Assumptions!$B$6),AND(C35&gt;=Assumptions!$B$7,C35&lt;=Assumptions!$B$8)),"Peak","Off-peak")</f>
        <v>Off-peak</v>
      </c>
      <c r="E35" s="23" t="s">
        <v>64</v>
      </c>
      <c r="F35" s="23" t="s">
        <v>82</v>
      </c>
      <c r="G35" s="23"/>
      <c r="H35" s="23" t="n">
        <v>1</v>
      </c>
      <c r="I35" s="23" t="n">
        <v>6</v>
      </c>
      <c r="J35" s="23" t="n">
        <v>3</v>
      </c>
      <c r="K35" s="23" t="n">
        <v>6</v>
      </c>
      <c r="L35" s="23" t="n">
        <v>2</v>
      </c>
      <c r="M35" s="23" t="n">
        <v>10</v>
      </c>
      <c r="N35" s="23" t="n">
        <f aca="false">IF(F35="Delivered",SUM(H35:M35),"")</f>
        <v>28</v>
      </c>
      <c r="O35" s="23" t="n">
        <v>5</v>
      </c>
      <c r="P35" s="23" t="s">
        <v>85</v>
      </c>
      <c r="Q35" s="23" t="str">
        <f aca="false">IF(F35="Delivered",IF(N35&gt;Assumptions!$B$4,"Yes","No"),"")</f>
        <v>No</v>
      </c>
    </row>
    <row r="36" customFormat="false" ht="15" hidden="false" customHeight="false" outlineLevel="0" collapsed="false">
      <c r="A36" s="23" t="s">
        <v>119</v>
      </c>
      <c r="B36" s="24" t="n">
        <v>46280</v>
      </c>
      <c r="C36" s="23" t="n">
        <v>17</v>
      </c>
      <c r="D36" s="23" t="str">
        <f aca="false">IF(OR(AND(C36&gt;=Assumptions!$B$5,C36&lt;=Assumptions!$B$6),AND(C36&gt;=Assumptions!$B$7,C36&lt;=Assumptions!$B$8)),"Peak","Off-peak")</f>
        <v>Off-peak</v>
      </c>
      <c r="E36" s="23" t="s">
        <v>64</v>
      </c>
      <c r="F36" s="23" t="s">
        <v>82</v>
      </c>
      <c r="G36" s="23"/>
      <c r="H36" s="23" t="n">
        <v>1</v>
      </c>
      <c r="I36" s="23" t="n">
        <v>15</v>
      </c>
      <c r="J36" s="23" t="n">
        <v>1</v>
      </c>
      <c r="K36" s="23" t="n">
        <v>11</v>
      </c>
      <c r="L36" s="23" t="n">
        <v>1</v>
      </c>
      <c r="M36" s="23" t="n">
        <v>14</v>
      </c>
      <c r="N36" s="23" t="n">
        <f aca="false">IF(F36="Delivered",SUM(H36:M36),"")</f>
        <v>43</v>
      </c>
      <c r="O36" s="23" t="n">
        <v>4</v>
      </c>
      <c r="P36" s="23" t="s">
        <v>85</v>
      </c>
      <c r="Q36" s="23" t="str">
        <f aca="false">IF(F36="Delivered",IF(N36&gt;Assumptions!$B$4,"Yes","No"),"")</f>
        <v>No</v>
      </c>
    </row>
    <row r="37" customFormat="false" ht="15" hidden="false" customHeight="false" outlineLevel="0" collapsed="false">
      <c r="A37" s="23" t="s">
        <v>120</v>
      </c>
      <c r="B37" s="24" t="n">
        <v>46280</v>
      </c>
      <c r="C37" s="23" t="n">
        <v>21</v>
      </c>
      <c r="D37" s="23" t="str">
        <f aca="false">IF(OR(AND(C37&gt;=Assumptions!$B$5,C37&lt;=Assumptions!$B$6),AND(C37&gt;=Assumptions!$B$7,C37&lt;=Assumptions!$B$8)),"Peak","Off-peak")</f>
        <v>Peak</v>
      </c>
      <c r="E37" s="23" t="s">
        <v>60</v>
      </c>
      <c r="F37" s="23" t="s">
        <v>82</v>
      </c>
      <c r="G37" s="23"/>
      <c r="H37" s="23" t="n">
        <v>2</v>
      </c>
      <c r="I37" s="23" t="n">
        <v>12</v>
      </c>
      <c r="J37" s="23" t="n">
        <v>6</v>
      </c>
      <c r="K37" s="23" t="n">
        <v>7</v>
      </c>
      <c r="L37" s="23" t="n">
        <v>2</v>
      </c>
      <c r="M37" s="23" t="n">
        <v>6</v>
      </c>
      <c r="N37" s="23" t="n">
        <f aca="false">IF(F37="Delivered",SUM(H37:M37),"")</f>
        <v>35</v>
      </c>
      <c r="O37" s="23" t="n">
        <v>4</v>
      </c>
      <c r="P37" s="23" t="s">
        <v>85</v>
      </c>
      <c r="Q37" s="23" t="str">
        <f aca="false">IF(F37="Delivered",IF(N37&gt;Assumptions!$B$4,"Yes","No"),"")</f>
        <v>No</v>
      </c>
    </row>
    <row r="38" customFormat="false" ht="15" hidden="false" customHeight="false" outlineLevel="0" collapsed="false">
      <c r="A38" s="23" t="s">
        <v>121</v>
      </c>
      <c r="B38" s="24" t="n">
        <v>46280</v>
      </c>
      <c r="C38" s="23" t="n">
        <v>21</v>
      </c>
      <c r="D38" s="23" t="str">
        <f aca="false">IF(OR(AND(C38&gt;=Assumptions!$B$5,C38&lt;=Assumptions!$B$6),AND(C38&gt;=Assumptions!$B$7,C38&lt;=Assumptions!$B$8)),"Peak","Off-peak")</f>
        <v>Peak</v>
      </c>
      <c r="E38" s="23" t="s">
        <v>63</v>
      </c>
      <c r="F38" s="23" t="s">
        <v>82</v>
      </c>
      <c r="G38" s="23"/>
      <c r="H38" s="23" t="n">
        <v>4</v>
      </c>
      <c r="I38" s="23" t="n">
        <v>14</v>
      </c>
      <c r="J38" s="23" t="n">
        <v>9</v>
      </c>
      <c r="K38" s="23" t="n">
        <v>5</v>
      </c>
      <c r="L38" s="23" t="n">
        <v>3</v>
      </c>
      <c r="M38" s="23" t="n">
        <v>20</v>
      </c>
      <c r="N38" s="23" t="n">
        <f aca="false">IF(F38="Delivered",SUM(H38:M38),"")</f>
        <v>55</v>
      </c>
      <c r="O38" s="23" t="n">
        <v>4</v>
      </c>
      <c r="P38" s="23" t="s">
        <v>85</v>
      </c>
      <c r="Q38" s="23" t="str">
        <f aca="false">IF(F38="Delivered",IF(N38&gt;Assumptions!$B$4,"Yes","No"),"")</f>
        <v>Yes</v>
      </c>
    </row>
    <row r="39" customFormat="false" ht="15" hidden="false" customHeight="false" outlineLevel="0" collapsed="false">
      <c r="A39" s="23" t="s">
        <v>122</v>
      </c>
      <c r="B39" s="24" t="n">
        <v>46280</v>
      </c>
      <c r="C39" s="23" t="n">
        <v>21</v>
      </c>
      <c r="D39" s="23" t="str">
        <f aca="false">IF(OR(AND(C39&gt;=Assumptions!$B$5,C39&lt;=Assumptions!$B$6),AND(C39&gt;=Assumptions!$B$7,C39&lt;=Assumptions!$B$8)),"Peak","Off-peak")</f>
        <v>Peak</v>
      </c>
      <c r="E39" s="23" t="s">
        <v>63</v>
      </c>
      <c r="F39" s="23" t="s">
        <v>82</v>
      </c>
      <c r="G39" s="23"/>
      <c r="H39" s="23" t="n">
        <v>4</v>
      </c>
      <c r="I39" s="23" t="n">
        <v>15</v>
      </c>
      <c r="J39" s="23" t="n">
        <v>9</v>
      </c>
      <c r="K39" s="23" t="n">
        <v>12</v>
      </c>
      <c r="L39" s="23" t="n">
        <v>1</v>
      </c>
      <c r="M39" s="23" t="n">
        <v>23</v>
      </c>
      <c r="N39" s="23" t="n">
        <f aca="false">IF(F39="Delivered",SUM(H39:M39),"")</f>
        <v>64</v>
      </c>
      <c r="O39" s="23" t="n">
        <v>3</v>
      </c>
      <c r="P39" s="23" t="s">
        <v>85</v>
      </c>
      <c r="Q39" s="23" t="str">
        <f aca="false">IF(F39="Delivered",IF(N39&gt;Assumptions!$B$4,"Yes","No"),"")</f>
        <v>Yes</v>
      </c>
    </row>
    <row r="40" customFormat="false" ht="15" hidden="false" customHeight="false" outlineLevel="0" collapsed="false">
      <c r="A40" s="23" t="s">
        <v>123</v>
      </c>
      <c r="B40" s="24" t="n">
        <v>46280</v>
      </c>
      <c r="C40" s="23" t="n">
        <v>22</v>
      </c>
      <c r="D40" s="23" t="str">
        <f aca="false">IF(OR(AND(C40&gt;=Assumptions!$B$5,C40&lt;=Assumptions!$B$6),AND(C40&gt;=Assumptions!$B$7,C40&lt;=Assumptions!$B$8)),"Peak","Off-peak")</f>
        <v>Off-peak</v>
      </c>
      <c r="E40" s="23" t="s">
        <v>63</v>
      </c>
      <c r="F40" s="23" t="s">
        <v>82</v>
      </c>
      <c r="G40" s="23"/>
      <c r="H40" s="23" t="n">
        <v>1</v>
      </c>
      <c r="I40" s="23" t="n">
        <v>10</v>
      </c>
      <c r="J40" s="23" t="n">
        <v>7</v>
      </c>
      <c r="K40" s="23" t="n">
        <v>9</v>
      </c>
      <c r="L40" s="23" t="n">
        <v>1</v>
      </c>
      <c r="M40" s="23" t="n">
        <v>12</v>
      </c>
      <c r="N40" s="23" t="n">
        <f aca="false">IF(F40="Delivered",SUM(H40:M40),"")</f>
        <v>40</v>
      </c>
      <c r="O40" s="23" t="n">
        <v>4</v>
      </c>
      <c r="P40" s="23" t="s">
        <v>85</v>
      </c>
      <c r="Q40" s="23" t="str">
        <f aca="false">IF(F40="Delivered",IF(N40&gt;Assumptions!$B$4,"Yes","No"),"")</f>
        <v>No</v>
      </c>
    </row>
    <row r="41" customFormat="false" ht="15" hidden="false" customHeight="false" outlineLevel="0" collapsed="false">
      <c r="A41" s="23" t="s">
        <v>124</v>
      </c>
      <c r="B41" s="24" t="n">
        <v>46280</v>
      </c>
      <c r="C41" s="23" t="n">
        <v>22</v>
      </c>
      <c r="D41" s="23" t="str">
        <f aca="false">IF(OR(AND(C41&gt;=Assumptions!$B$5,C41&lt;=Assumptions!$B$6),AND(C41&gt;=Assumptions!$B$7,C41&lt;=Assumptions!$B$8)),"Peak","Off-peak")</f>
        <v>Off-peak</v>
      </c>
      <c r="E41" s="23" t="s">
        <v>57</v>
      </c>
      <c r="F41" s="23" t="s">
        <v>82</v>
      </c>
      <c r="G41" s="23"/>
      <c r="H41" s="23" t="n">
        <v>2</v>
      </c>
      <c r="I41" s="23" t="n">
        <v>12</v>
      </c>
      <c r="J41" s="23" t="n">
        <v>3</v>
      </c>
      <c r="K41" s="23" t="n">
        <v>5</v>
      </c>
      <c r="L41" s="23" t="n">
        <v>2</v>
      </c>
      <c r="M41" s="23" t="n">
        <v>13</v>
      </c>
      <c r="N41" s="23" t="n">
        <f aca="false">IF(F41="Delivered",SUM(H41:M41),"")</f>
        <v>37</v>
      </c>
      <c r="O41" s="23" t="n">
        <v>4</v>
      </c>
      <c r="P41" s="23" t="s">
        <v>85</v>
      </c>
      <c r="Q41" s="23" t="str">
        <f aca="false">IF(F41="Delivered",IF(N41&gt;Assumptions!$B$4,"Yes","No"),"")</f>
        <v>No</v>
      </c>
    </row>
    <row r="42" customFormat="false" ht="15" hidden="false" customHeight="false" outlineLevel="0" collapsed="false">
      <c r="A42" s="23" t="s">
        <v>125</v>
      </c>
      <c r="B42" s="24" t="n">
        <v>46281</v>
      </c>
      <c r="C42" s="23" t="n">
        <v>11</v>
      </c>
      <c r="D42" s="23" t="str">
        <f aca="false">IF(OR(AND(C42&gt;=Assumptions!$B$5,C42&lt;=Assumptions!$B$6),AND(C42&gt;=Assumptions!$B$7,C42&lt;=Assumptions!$B$8)),"Peak","Off-peak")</f>
        <v>Off-peak</v>
      </c>
      <c r="E42" s="23" t="s">
        <v>63</v>
      </c>
      <c r="F42" s="23" t="s">
        <v>82</v>
      </c>
      <c r="G42" s="23"/>
      <c r="H42" s="23" t="n">
        <v>1</v>
      </c>
      <c r="I42" s="23" t="n">
        <v>9</v>
      </c>
      <c r="J42" s="23" t="n">
        <v>2</v>
      </c>
      <c r="K42" s="23" t="n">
        <v>5</v>
      </c>
      <c r="L42" s="23" t="n">
        <v>1</v>
      </c>
      <c r="M42" s="23" t="n">
        <v>4</v>
      </c>
      <c r="N42" s="23" t="n">
        <f aca="false">IF(F42="Delivered",SUM(H42:M42),"")</f>
        <v>22</v>
      </c>
      <c r="O42" s="23" t="n">
        <v>5</v>
      </c>
      <c r="P42" s="23" t="s">
        <v>85</v>
      </c>
      <c r="Q42" s="23" t="str">
        <f aca="false">IF(F42="Delivered",IF(N42&gt;Assumptions!$B$4,"Yes","No"),"")</f>
        <v>No</v>
      </c>
    </row>
    <row r="43" customFormat="false" ht="15" hidden="false" customHeight="false" outlineLevel="0" collapsed="false">
      <c r="A43" s="23" t="s">
        <v>126</v>
      </c>
      <c r="B43" s="24" t="n">
        <v>46281</v>
      </c>
      <c r="C43" s="23" t="n">
        <v>12</v>
      </c>
      <c r="D43" s="23" t="str">
        <f aca="false">IF(OR(AND(C43&gt;=Assumptions!$B$5,C43&lt;=Assumptions!$B$6),AND(C43&gt;=Assumptions!$B$7,C43&lt;=Assumptions!$B$8)),"Peak","Off-peak")</f>
        <v>Peak</v>
      </c>
      <c r="E43" s="23" t="s">
        <v>57</v>
      </c>
      <c r="F43" s="23" t="s">
        <v>54</v>
      </c>
      <c r="G43" s="23" t="s">
        <v>49</v>
      </c>
      <c r="N43" s="23" t="str">
        <f aca="false">IF(F43="Delivered",SUM(H43:M43),"")</f>
        <v/>
      </c>
      <c r="Q43" s="23" t="str">
        <f aca="false">IF(F43="Delivered",IF(N43&gt;Assumptions!$B$4,"Yes","No"),"")</f>
        <v/>
      </c>
    </row>
    <row r="44" customFormat="false" ht="15" hidden="false" customHeight="false" outlineLevel="0" collapsed="false">
      <c r="A44" s="23" t="s">
        <v>127</v>
      </c>
      <c r="B44" s="24" t="n">
        <v>46281</v>
      </c>
      <c r="C44" s="23" t="n">
        <v>12</v>
      </c>
      <c r="D44" s="23" t="str">
        <f aca="false">IF(OR(AND(C44&gt;=Assumptions!$B$5,C44&lt;=Assumptions!$B$6),AND(C44&gt;=Assumptions!$B$7,C44&lt;=Assumptions!$B$8)),"Peak","Off-peak")</f>
        <v>Peak</v>
      </c>
      <c r="E44" s="23" t="s">
        <v>58</v>
      </c>
      <c r="F44" s="23" t="s">
        <v>54</v>
      </c>
      <c r="G44" s="23" t="s">
        <v>46</v>
      </c>
      <c r="N44" s="23" t="str">
        <f aca="false">IF(F44="Delivered",SUM(H44:M44),"")</f>
        <v/>
      </c>
      <c r="Q44" s="23" t="str">
        <f aca="false">IF(F44="Delivered",IF(N44&gt;Assumptions!$B$4,"Yes","No"),"")</f>
        <v/>
      </c>
    </row>
    <row r="45" customFormat="false" ht="15" hidden="false" customHeight="false" outlineLevel="0" collapsed="false">
      <c r="A45" s="23" t="s">
        <v>128</v>
      </c>
      <c r="B45" s="24" t="n">
        <v>46281</v>
      </c>
      <c r="C45" s="23" t="n">
        <v>13</v>
      </c>
      <c r="D45" s="23" t="str">
        <f aca="false">IF(OR(AND(C45&gt;=Assumptions!$B$5,C45&lt;=Assumptions!$B$6),AND(C45&gt;=Assumptions!$B$7,C45&lt;=Assumptions!$B$8)),"Peak","Off-peak")</f>
        <v>Peak</v>
      </c>
      <c r="E45" s="23" t="s">
        <v>57</v>
      </c>
      <c r="F45" s="23" t="s">
        <v>82</v>
      </c>
      <c r="G45" s="23"/>
      <c r="H45" s="23" t="n">
        <v>5</v>
      </c>
      <c r="I45" s="23" t="n">
        <v>7</v>
      </c>
      <c r="J45" s="23" t="n">
        <v>3</v>
      </c>
      <c r="K45" s="23" t="n">
        <v>10</v>
      </c>
      <c r="L45" s="23" t="n">
        <v>2</v>
      </c>
      <c r="M45" s="23" t="n">
        <v>9</v>
      </c>
      <c r="N45" s="23" t="n">
        <f aca="false">IF(F45="Delivered",SUM(H45:M45),"")</f>
        <v>36</v>
      </c>
      <c r="O45" s="23" t="n">
        <v>5</v>
      </c>
      <c r="P45" s="23" t="s">
        <v>85</v>
      </c>
      <c r="Q45" s="23" t="str">
        <f aca="false">IF(F45="Delivered",IF(N45&gt;Assumptions!$B$4,"Yes","No"),"")</f>
        <v>No</v>
      </c>
    </row>
    <row r="46" customFormat="false" ht="15" hidden="false" customHeight="false" outlineLevel="0" collapsed="false">
      <c r="A46" s="23" t="s">
        <v>129</v>
      </c>
      <c r="B46" s="24" t="n">
        <v>46281</v>
      </c>
      <c r="C46" s="23" t="n">
        <v>13</v>
      </c>
      <c r="D46" s="23" t="str">
        <f aca="false">IF(OR(AND(C46&gt;=Assumptions!$B$5,C46&lt;=Assumptions!$B$6),AND(C46&gt;=Assumptions!$B$7,C46&lt;=Assumptions!$B$8)),"Peak","Off-peak")</f>
        <v>Peak</v>
      </c>
      <c r="E46" s="23" t="s">
        <v>64</v>
      </c>
      <c r="F46" s="23" t="s">
        <v>82</v>
      </c>
      <c r="G46" s="23"/>
      <c r="H46" s="23" t="n">
        <v>2</v>
      </c>
      <c r="I46" s="23" t="n">
        <v>7</v>
      </c>
      <c r="J46" s="23" t="n">
        <v>8</v>
      </c>
      <c r="K46" s="23" t="n">
        <v>11</v>
      </c>
      <c r="L46" s="23" t="n">
        <v>12</v>
      </c>
      <c r="M46" s="23" t="n">
        <v>19</v>
      </c>
      <c r="N46" s="23" t="n">
        <f aca="false">IF(F46="Delivered",SUM(H46:M46),"")</f>
        <v>59</v>
      </c>
      <c r="O46" s="23" t="n">
        <v>3</v>
      </c>
      <c r="P46" s="23" t="s">
        <v>85</v>
      </c>
      <c r="Q46" s="23" t="str">
        <f aca="false">IF(F46="Delivered",IF(N46&gt;Assumptions!$B$4,"Yes","No"),"")</f>
        <v>Yes</v>
      </c>
    </row>
    <row r="47" customFormat="false" ht="15" hidden="false" customHeight="false" outlineLevel="0" collapsed="false">
      <c r="A47" s="23" t="s">
        <v>130</v>
      </c>
      <c r="B47" s="24" t="n">
        <v>46281</v>
      </c>
      <c r="C47" s="23" t="n">
        <v>15</v>
      </c>
      <c r="D47" s="23" t="str">
        <f aca="false">IF(OR(AND(C47&gt;=Assumptions!$B$5,C47&lt;=Assumptions!$B$6),AND(C47&gt;=Assumptions!$B$7,C47&lt;=Assumptions!$B$8)),"Peak","Off-peak")</f>
        <v>Off-peak</v>
      </c>
      <c r="E47" s="23" t="s">
        <v>61</v>
      </c>
      <c r="F47" s="23" t="s">
        <v>82</v>
      </c>
      <c r="G47" s="23"/>
      <c r="H47" s="23" t="n">
        <v>2</v>
      </c>
      <c r="I47" s="23" t="n">
        <v>17</v>
      </c>
      <c r="J47" s="23" t="n">
        <v>4</v>
      </c>
      <c r="K47" s="23" t="n">
        <v>7</v>
      </c>
      <c r="L47" s="23" t="n">
        <v>1</v>
      </c>
      <c r="M47" s="23" t="n">
        <v>7</v>
      </c>
      <c r="N47" s="23" t="n">
        <f aca="false">IF(F47="Delivered",SUM(H47:M47),"")</f>
        <v>38</v>
      </c>
      <c r="O47" s="23" t="n">
        <v>5</v>
      </c>
      <c r="P47" s="23" t="s">
        <v>85</v>
      </c>
      <c r="Q47" s="23" t="str">
        <f aca="false">IF(F47="Delivered",IF(N47&gt;Assumptions!$B$4,"Yes","No"),"")</f>
        <v>No</v>
      </c>
    </row>
    <row r="48" customFormat="false" ht="15" hidden="false" customHeight="false" outlineLevel="0" collapsed="false">
      <c r="A48" s="23" t="s">
        <v>131</v>
      </c>
      <c r="B48" s="24" t="n">
        <v>46281</v>
      </c>
      <c r="C48" s="23" t="n">
        <v>15</v>
      </c>
      <c r="D48" s="23" t="str">
        <f aca="false">IF(OR(AND(C48&gt;=Assumptions!$B$5,C48&lt;=Assumptions!$B$6),AND(C48&gt;=Assumptions!$B$7,C48&lt;=Assumptions!$B$8)),"Peak","Off-peak")</f>
        <v>Off-peak</v>
      </c>
      <c r="E48" s="23" t="s">
        <v>62</v>
      </c>
      <c r="F48" s="23" t="s">
        <v>82</v>
      </c>
      <c r="G48" s="23"/>
      <c r="H48" s="23" t="n">
        <v>1</v>
      </c>
      <c r="I48" s="23" t="n">
        <v>8</v>
      </c>
      <c r="J48" s="23" t="n">
        <v>2</v>
      </c>
      <c r="K48" s="23" t="n">
        <v>5</v>
      </c>
      <c r="L48" s="23" t="n">
        <v>1</v>
      </c>
      <c r="M48" s="23" t="n">
        <v>8</v>
      </c>
      <c r="N48" s="23" t="n">
        <f aca="false">IF(F48="Delivered",SUM(H48:M48),"")</f>
        <v>25</v>
      </c>
      <c r="O48" s="23" t="n">
        <v>5</v>
      </c>
      <c r="P48" s="23" t="s">
        <v>85</v>
      </c>
      <c r="Q48" s="23" t="str">
        <f aca="false">IF(F48="Delivered",IF(N48&gt;Assumptions!$B$4,"Yes","No"),"")</f>
        <v>No</v>
      </c>
    </row>
    <row r="49" customFormat="false" ht="15" hidden="false" customHeight="false" outlineLevel="0" collapsed="false">
      <c r="A49" s="23" t="s">
        <v>132</v>
      </c>
      <c r="B49" s="24" t="n">
        <v>46281</v>
      </c>
      <c r="C49" s="23" t="n">
        <v>18</v>
      </c>
      <c r="D49" s="23" t="str">
        <f aca="false">IF(OR(AND(C49&gt;=Assumptions!$B$5,C49&lt;=Assumptions!$B$6),AND(C49&gt;=Assumptions!$B$7,C49&lt;=Assumptions!$B$8)),"Peak","Off-peak")</f>
        <v>Off-peak</v>
      </c>
      <c r="E49" s="23" t="s">
        <v>58</v>
      </c>
      <c r="F49" s="23" t="s">
        <v>82</v>
      </c>
      <c r="G49" s="23"/>
      <c r="H49" s="23" t="n">
        <v>6</v>
      </c>
      <c r="I49" s="23" t="n">
        <v>8</v>
      </c>
      <c r="J49" s="23" t="n">
        <v>3</v>
      </c>
      <c r="K49" s="23" t="n">
        <v>5</v>
      </c>
      <c r="L49" s="23" t="n">
        <v>1</v>
      </c>
      <c r="M49" s="23" t="n">
        <v>9</v>
      </c>
      <c r="N49" s="23" t="n">
        <f aca="false">IF(F49="Delivered",SUM(H49:M49),"")</f>
        <v>32</v>
      </c>
      <c r="O49" s="23" t="n">
        <v>5</v>
      </c>
      <c r="P49" s="23" t="s">
        <v>85</v>
      </c>
      <c r="Q49" s="23" t="str">
        <f aca="false">IF(F49="Delivered",IF(N49&gt;Assumptions!$B$4,"Yes","No"),"")</f>
        <v>No</v>
      </c>
    </row>
    <row r="50" customFormat="false" ht="15" hidden="false" customHeight="false" outlineLevel="0" collapsed="false">
      <c r="A50" s="23" t="s">
        <v>133</v>
      </c>
      <c r="B50" s="24" t="n">
        <v>46281</v>
      </c>
      <c r="C50" s="23" t="n">
        <v>18</v>
      </c>
      <c r="D50" s="23" t="str">
        <f aca="false">IF(OR(AND(C50&gt;=Assumptions!$B$5,C50&lt;=Assumptions!$B$6),AND(C50&gt;=Assumptions!$B$7,C50&lt;=Assumptions!$B$8)),"Peak","Off-peak")</f>
        <v>Off-peak</v>
      </c>
      <c r="E50" s="23" t="s">
        <v>62</v>
      </c>
      <c r="F50" s="23" t="s">
        <v>82</v>
      </c>
      <c r="G50" s="23"/>
      <c r="H50" s="23" t="n">
        <v>2</v>
      </c>
      <c r="I50" s="23" t="n">
        <v>16</v>
      </c>
      <c r="J50" s="23" t="n">
        <v>5</v>
      </c>
      <c r="K50" s="23" t="n">
        <v>11</v>
      </c>
      <c r="L50" s="23" t="n">
        <v>3</v>
      </c>
      <c r="M50" s="23" t="n">
        <v>7</v>
      </c>
      <c r="N50" s="23" t="n">
        <f aca="false">IF(F50="Delivered",SUM(H50:M50),"")</f>
        <v>44</v>
      </c>
      <c r="O50" s="23" t="n">
        <v>4</v>
      </c>
      <c r="P50" s="23" t="s">
        <v>85</v>
      </c>
      <c r="Q50" s="23" t="str">
        <f aca="false">IF(F50="Delivered",IF(N50&gt;Assumptions!$B$4,"Yes","No"),"")</f>
        <v>No</v>
      </c>
    </row>
    <row r="51" customFormat="false" ht="15" hidden="false" customHeight="false" outlineLevel="0" collapsed="false">
      <c r="A51" s="23" t="s">
        <v>134</v>
      </c>
      <c r="B51" s="24" t="n">
        <v>46281</v>
      </c>
      <c r="C51" s="23" t="n">
        <v>18</v>
      </c>
      <c r="D51" s="23" t="str">
        <f aca="false">IF(OR(AND(C51&gt;=Assumptions!$B$5,C51&lt;=Assumptions!$B$6),AND(C51&gt;=Assumptions!$B$7,C51&lt;=Assumptions!$B$8)),"Peak","Off-peak")</f>
        <v>Off-peak</v>
      </c>
      <c r="E51" s="23" t="s">
        <v>57</v>
      </c>
      <c r="F51" s="23" t="s">
        <v>82</v>
      </c>
      <c r="G51" s="23"/>
      <c r="H51" s="23" t="n">
        <v>2</v>
      </c>
      <c r="I51" s="23" t="n">
        <v>12</v>
      </c>
      <c r="J51" s="23" t="n">
        <v>3</v>
      </c>
      <c r="K51" s="23" t="n">
        <v>7</v>
      </c>
      <c r="L51" s="23" t="n">
        <v>1</v>
      </c>
      <c r="M51" s="23" t="n">
        <v>12</v>
      </c>
      <c r="N51" s="23" t="n">
        <f aca="false">IF(F51="Delivered",SUM(H51:M51),"")</f>
        <v>37</v>
      </c>
      <c r="O51" s="23" t="n">
        <v>5</v>
      </c>
      <c r="P51" s="23" t="s">
        <v>85</v>
      </c>
      <c r="Q51" s="23" t="str">
        <f aca="false">IF(F51="Delivered",IF(N51&gt;Assumptions!$B$4,"Yes","No"),"")</f>
        <v>No</v>
      </c>
    </row>
    <row r="52" customFormat="false" ht="15" hidden="false" customHeight="false" outlineLevel="0" collapsed="false">
      <c r="A52" s="23" t="s">
        <v>135</v>
      </c>
      <c r="B52" s="24" t="n">
        <v>46281</v>
      </c>
      <c r="C52" s="23" t="n">
        <v>20</v>
      </c>
      <c r="D52" s="23" t="str">
        <f aca="false">IF(OR(AND(C52&gt;=Assumptions!$B$5,C52&lt;=Assumptions!$B$6),AND(C52&gt;=Assumptions!$B$7,C52&lt;=Assumptions!$B$8)),"Peak","Off-peak")</f>
        <v>Peak</v>
      </c>
      <c r="E52" s="23" t="s">
        <v>58</v>
      </c>
      <c r="F52" s="23" t="s">
        <v>82</v>
      </c>
      <c r="G52" s="23"/>
      <c r="H52" s="23" t="n">
        <v>6</v>
      </c>
      <c r="I52" s="23" t="n">
        <v>9</v>
      </c>
      <c r="J52" s="23" t="n">
        <v>1</v>
      </c>
      <c r="K52" s="23" t="n">
        <v>6</v>
      </c>
      <c r="L52" s="23" t="n">
        <v>6</v>
      </c>
      <c r="M52" s="23" t="n">
        <v>11</v>
      </c>
      <c r="N52" s="23" t="n">
        <f aca="false">IF(F52="Delivered",SUM(H52:M52),"")</f>
        <v>39</v>
      </c>
      <c r="O52" s="23" t="n">
        <v>5</v>
      </c>
      <c r="P52" s="23" t="s">
        <v>85</v>
      </c>
      <c r="Q52" s="23" t="str">
        <f aca="false">IF(F52="Delivered",IF(N52&gt;Assumptions!$B$4,"Yes","No"),"")</f>
        <v>No</v>
      </c>
    </row>
    <row r="53" customFormat="false" ht="15" hidden="false" customHeight="false" outlineLevel="0" collapsed="false">
      <c r="A53" s="23" t="s">
        <v>136</v>
      </c>
      <c r="B53" s="24" t="n">
        <v>46281</v>
      </c>
      <c r="C53" s="23" t="n">
        <v>21</v>
      </c>
      <c r="D53" s="23" t="str">
        <f aca="false">IF(OR(AND(C53&gt;=Assumptions!$B$5,C53&lt;=Assumptions!$B$6),AND(C53&gt;=Assumptions!$B$7,C53&lt;=Assumptions!$B$8)),"Peak","Off-peak")</f>
        <v>Peak</v>
      </c>
      <c r="E53" s="23" t="s">
        <v>61</v>
      </c>
      <c r="F53" s="23" t="s">
        <v>82</v>
      </c>
      <c r="G53" s="23"/>
      <c r="H53" s="23" t="n">
        <v>5</v>
      </c>
      <c r="I53" s="23" t="n">
        <v>25</v>
      </c>
      <c r="J53" s="23" t="n">
        <v>5</v>
      </c>
      <c r="K53" s="23" t="n">
        <v>2</v>
      </c>
      <c r="L53" s="23" t="n">
        <v>10</v>
      </c>
      <c r="M53" s="23" t="n">
        <v>13</v>
      </c>
      <c r="N53" s="23" t="n">
        <f aca="false">IF(F53="Delivered",SUM(H53:M53),"")</f>
        <v>60</v>
      </c>
      <c r="O53" s="23" t="n">
        <v>2</v>
      </c>
      <c r="P53" s="23" t="s">
        <v>85</v>
      </c>
      <c r="Q53" s="23" t="str">
        <f aca="false">IF(F53="Delivered",IF(N53&gt;Assumptions!$B$4,"Yes","No"),"")</f>
        <v>Yes</v>
      </c>
    </row>
    <row r="54" customFormat="false" ht="15" hidden="false" customHeight="false" outlineLevel="0" collapsed="false">
      <c r="A54" s="23" t="s">
        <v>137</v>
      </c>
      <c r="B54" s="24" t="n">
        <v>46281</v>
      </c>
      <c r="C54" s="23" t="n">
        <v>22</v>
      </c>
      <c r="D54" s="23" t="str">
        <f aca="false">IF(OR(AND(C54&gt;=Assumptions!$B$5,C54&lt;=Assumptions!$B$6),AND(C54&gt;=Assumptions!$B$7,C54&lt;=Assumptions!$B$8)),"Peak","Off-peak")</f>
        <v>Off-peak</v>
      </c>
      <c r="E54" s="23" t="s">
        <v>62</v>
      </c>
      <c r="F54" s="23" t="s">
        <v>82</v>
      </c>
      <c r="G54" s="23"/>
      <c r="H54" s="23" t="n">
        <v>2</v>
      </c>
      <c r="I54" s="23" t="n">
        <v>11</v>
      </c>
      <c r="J54" s="23" t="n">
        <v>3</v>
      </c>
      <c r="K54" s="23" t="n">
        <v>7</v>
      </c>
      <c r="L54" s="23" t="n">
        <v>3</v>
      </c>
      <c r="M54" s="23" t="n">
        <v>9</v>
      </c>
      <c r="N54" s="23" t="n">
        <f aca="false">IF(F54="Delivered",SUM(H54:M54),"")</f>
        <v>35</v>
      </c>
      <c r="O54" s="23" t="n">
        <v>4</v>
      </c>
      <c r="P54" s="23" t="s">
        <v>85</v>
      </c>
      <c r="Q54" s="23" t="str">
        <f aca="false">IF(F54="Delivered",IF(N54&gt;Assumptions!$B$4,"Yes","No"),"")</f>
        <v>No</v>
      </c>
    </row>
    <row r="55" customFormat="false" ht="15" hidden="false" customHeight="false" outlineLevel="0" collapsed="false">
      <c r="A55" s="23" t="s">
        <v>138</v>
      </c>
      <c r="B55" s="24" t="n">
        <v>46281</v>
      </c>
      <c r="C55" s="23" t="n">
        <v>22</v>
      </c>
      <c r="D55" s="23" t="str">
        <f aca="false">IF(OR(AND(C55&gt;=Assumptions!$B$5,C55&lt;=Assumptions!$B$6),AND(C55&gt;=Assumptions!$B$7,C55&lt;=Assumptions!$B$8)),"Peak","Off-peak")</f>
        <v>Off-peak</v>
      </c>
      <c r="E55" s="23" t="s">
        <v>60</v>
      </c>
      <c r="F55" s="23" t="s">
        <v>82</v>
      </c>
      <c r="G55" s="23"/>
      <c r="H55" s="23" t="n">
        <v>2</v>
      </c>
      <c r="I55" s="23" t="n">
        <v>12</v>
      </c>
      <c r="J55" s="23" t="n">
        <v>2</v>
      </c>
      <c r="K55" s="23" t="n">
        <v>4</v>
      </c>
      <c r="L55" s="23" t="n">
        <v>2</v>
      </c>
      <c r="M55" s="23" t="n">
        <v>7</v>
      </c>
      <c r="N55" s="23" t="n">
        <f aca="false">IF(F55="Delivered",SUM(H55:M55),"")</f>
        <v>29</v>
      </c>
      <c r="O55" s="23" t="n">
        <v>5</v>
      </c>
      <c r="P55" s="23" t="s">
        <v>85</v>
      </c>
      <c r="Q55" s="23" t="str">
        <f aca="false">IF(F55="Delivered",IF(N55&gt;Assumptions!$B$4,"Yes","No"),"")</f>
        <v>No</v>
      </c>
    </row>
    <row r="56" customFormat="false" ht="15" hidden="false" customHeight="false" outlineLevel="0" collapsed="false">
      <c r="A56" s="23" t="s">
        <v>139</v>
      </c>
      <c r="B56" s="24" t="n">
        <v>46282</v>
      </c>
      <c r="C56" s="23" t="n">
        <v>10</v>
      </c>
      <c r="D56" s="23" t="str">
        <f aca="false">IF(OR(AND(C56&gt;=Assumptions!$B$5,C56&lt;=Assumptions!$B$6),AND(C56&gt;=Assumptions!$B$7,C56&lt;=Assumptions!$B$8)),"Peak","Off-peak")</f>
        <v>Off-peak</v>
      </c>
      <c r="E56" s="23" t="s">
        <v>62</v>
      </c>
      <c r="F56" s="23" t="s">
        <v>54</v>
      </c>
      <c r="G56" s="23" t="s">
        <v>46</v>
      </c>
      <c r="N56" s="23" t="str">
        <f aca="false">IF(F56="Delivered",SUM(H56:M56),"")</f>
        <v/>
      </c>
      <c r="Q56" s="23" t="str">
        <f aca="false">IF(F56="Delivered",IF(N56&gt;Assumptions!$B$4,"Yes","No"),"")</f>
        <v/>
      </c>
    </row>
    <row r="57" customFormat="false" ht="15" hidden="false" customHeight="false" outlineLevel="0" collapsed="false">
      <c r="A57" s="23" t="s">
        <v>140</v>
      </c>
      <c r="B57" s="24" t="n">
        <v>46282</v>
      </c>
      <c r="C57" s="23" t="n">
        <v>10</v>
      </c>
      <c r="D57" s="23" t="str">
        <f aca="false">IF(OR(AND(C57&gt;=Assumptions!$B$5,C57&lt;=Assumptions!$B$6),AND(C57&gt;=Assumptions!$B$7,C57&lt;=Assumptions!$B$8)),"Peak","Off-peak")</f>
        <v>Off-peak</v>
      </c>
      <c r="E57" s="23" t="s">
        <v>57</v>
      </c>
      <c r="F57" s="23" t="s">
        <v>54</v>
      </c>
      <c r="G57" s="23" t="s">
        <v>46</v>
      </c>
      <c r="N57" s="23" t="str">
        <f aca="false">IF(F57="Delivered",SUM(H57:M57),"")</f>
        <v/>
      </c>
      <c r="Q57" s="23" t="str">
        <f aca="false">IF(F57="Delivered",IF(N57&gt;Assumptions!$B$4,"Yes","No"),"")</f>
        <v/>
      </c>
    </row>
    <row r="58" customFormat="false" ht="15" hidden="false" customHeight="false" outlineLevel="0" collapsed="false">
      <c r="A58" s="23" t="s">
        <v>141</v>
      </c>
      <c r="B58" s="24" t="n">
        <v>46282</v>
      </c>
      <c r="C58" s="23" t="n">
        <v>11</v>
      </c>
      <c r="D58" s="23" t="str">
        <f aca="false">IF(OR(AND(C58&gt;=Assumptions!$B$5,C58&lt;=Assumptions!$B$6),AND(C58&gt;=Assumptions!$B$7,C58&lt;=Assumptions!$B$8)),"Peak","Off-peak")</f>
        <v>Off-peak</v>
      </c>
      <c r="E58" s="23" t="s">
        <v>60</v>
      </c>
      <c r="F58" s="23" t="s">
        <v>82</v>
      </c>
      <c r="G58" s="23"/>
      <c r="H58" s="23" t="n">
        <v>1</v>
      </c>
      <c r="I58" s="23" t="n">
        <v>11</v>
      </c>
      <c r="J58" s="23" t="n">
        <v>3</v>
      </c>
      <c r="K58" s="23" t="n">
        <v>3</v>
      </c>
      <c r="L58" s="23" t="n">
        <v>2</v>
      </c>
      <c r="M58" s="23" t="n">
        <v>7</v>
      </c>
      <c r="N58" s="23" t="n">
        <f aca="false">IF(F58="Delivered",SUM(H58:M58),"")</f>
        <v>27</v>
      </c>
      <c r="O58" s="23" t="n">
        <v>5</v>
      </c>
      <c r="P58" s="23" t="s">
        <v>85</v>
      </c>
      <c r="Q58" s="23" t="str">
        <f aca="false">IF(F58="Delivered",IF(N58&gt;Assumptions!$B$4,"Yes","No"),"")</f>
        <v>No</v>
      </c>
    </row>
    <row r="59" customFormat="false" ht="15" hidden="false" customHeight="false" outlineLevel="0" collapsed="false">
      <c r="A59" s="23" t="s">
        <v>142</v>
      </c>
      <c r="B59" s="24" t="n">
        <v>46282</v>
      </c>
      <c r="C59" s="23" t="n">
        <v>11</v>
      </c>
      <c r="D59" s="23" t="str">
        <f aca="false">IF(OR(AND(C59&gt;=Assumptions!$B$5,C59&lt;=Assumptions!$B$6),AND(C59&gt;=Assumptions!$B$7,C59&lt;=Assumptions!$B$8)),"Peak","Off-peak")</f>
        <v>Off-peak</v>
      </c>
      <c r="E59" s="23" t="s">
        <v>60</v>
      </c>
      <c r="F59" s="23" t="s">
        <v>82</v>
      </c>
      <c r="G59" s="23"/>
      <c r="H59" s="23" t="n">
        <v>1</v>
      </c>
      <c r="I59" s="23" t="n">
        <v>8</v>
      </c>
      <c r="J59" s="23" t="n">
        <v>1</v>
      </c>
      <c r="K59" s="23" t="n">
        <v>7</v>
      </c>
      <c r="L59" s="23" t="n">
        <v>4</v>
      </c>
      <c r="M59" s="23" t="n">
        <v>6</v>
      </c>
      <c r="N59" s="23" t="n">
        <f aca="false">IF(F59="Delivered",SUM(H59:M59),"")</f>
        <v>27</v>
      </c>
      <c r="O59" s="23" t="n">
        <v>5</v>
      </c>
      <c r="P59" s="23" t="s">
        <v>85</v>
      </c>
      <c r="Q59" s="23" t="str">
        <f aca="false">IF(F59="Delivered",IF(N59&gt;Assumptions!$B$4,"Yes","No"),"")</f>
        <v>No</v>
      </c>
    </row>
    <row r="60" customFormat="false" ht="15" hidden="false" customHeight="false" outlineLevel="0" collapsed="false">
      <c r="A60" s="23" t="s">
        <v>143</v>
      </c>
      <c r="B60" s="24" t="n">
        <v>46282</v>
      </c>
      <c r="C60" s="23" t="n">
        <v>12</v>
      </c>
      <c r="D60" s="23" t="str">
        <f aca="false">IF(OR(AND(C60&gt;=Assumptions!$B$5,C60&lt;=Assumptions!$B$6),AND(C60&gt;=Assumptions!$B$7,C60&lt;=Assumptions!$B$8)),"Peak","Off-peak")</f>
        <v>Peak</v>
      </c>
      <c r="E60" s="23" t="s">
        <v>60</v>
      </c>
      <c r="F60" s="23" t="s">
        <v>82</v>
      </c>
      <c r="G60" s="23"/>
      <c r="H60" s="23" t="n">
        <v>2</v>
      </c>
      <c r="I60" s="23" t="n">
        <v>15</v>
      </c>
      <c r="J60" s="23" t="n">
        <v>5</v>
      </c>
      <c r="K60" s="23" t="n">
        <v>12</v>
      </c>
      <c r="L60" s="23" t="n">
        <v>4</v>
      </c>
      <c r="M60" s="23" t="n">
        <v>6</v>
      </c>
      <c r="N60" s="23" t="n">
        <f aca="false">IF(F60="Delivered",SUM(H60:M60),"")</f>
        <v>44</v>
      </c>
      <c r="O60" s="23" t="n">
        <v>4</v>
      </c>
      <c r="P60" s="23" t="s">
        <v>85</v>
      </c>
      <c r="Q60" s="23" t="str">
        <f aca="false">IF(F60="Delivered",IF(N60&gt;Assumptions!$B$4,"Yes","No"),"")</f>
        <v>No</v>
      </c>
    </row>
    <row r="61" customFormat="false" ht="15" hidden="false" customHeight="false" outlineLevel="0" collapsed="false">
      <c r="A61" s="23" t="s">
        <v>144</v>
      </c>
      <c r="B61" s="24" t="n">
        <v>46282</v>
      </c>
      <c r="C61" s="23" t="n">
        <v>14</v>
      </c>
      <c r="D61" s="23" t="str">
        <f aca="false">IF(OR(AND(C61&gt;=Assumptions!$B$5,C61&lt;=Assumptions!$B$6),AND(C61&gt;=Assumptions!$B$7,C61&lt;=Assumptions!$B$8)),"Peak","Off-peak")</f>
        <v>Off-peak</v>
      </c>
      <c r="E61" s="23" t="s">
        <v>62</v>
      </c>
      <c r="F61" s="23" t="s">
        <v>82</v>
      </c>
      <c r="G61" s="23"/>
      <c r="H61" s="23" t="n">
        <v>1</v>
      </c>
      <c r="I61" s="23" t="n">
        <v>25</v>
      </c>
      <c r="J61" s="23" t="n">
        <v>2</v>
      </c>
      <c r="K61" s="23" t="n">
        <v>7</v>
      </c>
      <c r="L61" s="23" t="n">
        <v>1</v>
      </c>
      <c r="M61" s="23" t="n">
        <v>5</v>
      </c>
      <c r="N61" s="23" t="n">
        <f aca="false">IF(F61="Delivered",SUM(H61:M61),"")</f>
        <v>41</v>
      </c>
      <c r="O61" s="23" t="n">
        <v>5</v>
      </c>
      <c r="P61" s="23" t="s">
        <v>85</v>
      </c>
      <c r="Q61" s="23" t="str">
        <f aca="false">IF(F61="Delivered",IF(N61&gt;Assumptions!$B$4,"Yes","No"),"")</f>
        <v>No</v>
      </c>
    </row>
    <row r="62" customFormat="false" ht="15" hidden="false" customHeight="false" outlineLevel="0" collapsed="false">
      <c r="A62" s="23" t="s">
        <v>145</v>
      </c>
      <c r="B62" s="24" t="n">
        <v>46282</v>
      </c>
      <c r="C62" s="23" t="n">
        <v>14</v>
      </c>
      <c r="D62" s="23" t="str">
        <f aca="false">IF(OR(AND(C62&gt;=Assumptions!$B$5,C62&lt;=Assumptions!$B$6),AND(C62&gt;=Assumptions!$B$7,C62&lt;=Assumptions!$B$8)),"Peak","Off-peak")</f>
        <v>Off-peak</v>
      </c>
      <c r="E62" s="23" t="s">
        <v>62</v>
      </c>
      <c r="F62" s="23" t="s">
        <v>82</v>
      </c>
      <c r="G62" s="23"/>
      <c r="H62" s="23" t="n">
        <v>3</v>
      </c>
      <c r="I62" s="23" t="n">
        <v>14</v>
      </c>
      <c r="J62" s="23" t="n">
        <v>2</v>
      </c>
      <c r="K62" s="23" t="n">
        <v>8</v>
      </c>
      <c r="L62" s="23" t="n">
        <v>2</v>
      </c>
      <c r="M62" s="23" t="n">
        <v>9</v>
      </c>
      <c r="N62" s="23" t="n">
        <f aca="false">IF(F62="Delivered",SUM(H62:M62),"")</f>
        <v>38</v>
      </c>
      <c r="O62" s="23" t="n">
        <v>4</v>
      </c>
      <c r="P62" s="23" t="s">
        <v>85</v>
      </c>
      <c r="Q62" s="23" t="str">
        <f aca="false">IF(F62="Delivered",IF(N62&gt;Assumptions!$B$4,"Yes","No"),"")</f>
        <v>No</v>
      </c>
    </row>
    <row r="63" customFormat="false" ht="15" hidden="false" customHeight="false" outlineLevel="0" collapsed="false">
      <c r="A63" s="23" t="s">
        <v>146</v>
      </c>
      <c r="B63" s="24" t="n">
        <v>46282</v>
      </c>
      <c r="C63" s="23" t="n">
        <v>14</v>
      </c>
      <c r="D63" s="23" t="str">
        <f aca="false">IF(OR(AND(C63&gt;=Assumptions!$B$5,C63&lt;=Assumptions!$B$6),AND(C63&gt;=Assumptions!$B$7,C63&lt;=Assumptions!$B$8)),"Peak","Off-peak")</f>
        <v>Off-peak</v>
      </c>
      <c r="E63" s="23" t="s">
        <v>60</v>
      </c>
      <c r="F63" s="23" t="s">
        <v>82</v>
      </c>
      <c r="G63" s="23"/>
      <c r="H63" s="23" t="n">
        <v>1</v>
      </c>
      <c r="I63" s="23" t="n">
        <v>17</v>
      </c>
      <c r="J63" s="23" t="n">
        <v>3</v>
      </c>
      <c r="K63" s="23" t="n">
        <v>4</v>
      </c>
      <c r="L63" s="23" t="n">
        <v>1</v>
      </c>
      <c r="M63" s="23" t="n">
        <v>6</v>
      </c>
      <c r="N63" s="23" t="n">
        <f aca="false">IF(F63="Delivered",SUM(H63:M63),"")</f>
        <v>32</v>
      </c>
      <c r="O63" s="23" t="n">
        <v>5</v>
      </c>
      <c r="P63" s="23" t="s">
        <v>85</v>
      </c>
      <c r="Q63" s="23" t="str">
        <f aca="false">IF(F63="Delivered",IF(N63&gt;Assumptions!$B$4,"Yes","No"),"")</f>
        <v>No</v>
      </c>
    </row>
    <row r="64" customFormat="false" ht="15" hidden="false" customHeight="false" outlineLevel="0" collapsed="false">
      <c r="A64" s="23" t="s">
        <v>147</v>
      </c>
      <c r="B64" s="24" t="n">
        <v>46282</v>
      </c>
      <c r="C64" s="23" t="n">
        <v>15</v>
      </c>
      <c r="D64" s="23" t="str">
        <f aca="false">IF(OR(AND(C64&gt;=Assumptions!$B$5,C64&lt;=Assumptions!$B$6),AND(C64&gt;=Assumptions!$B$7,C64&lt;=Assumptions!$B$8)),"Peak","Off-peak")</f>
        <v>Off-peak</v>
      </c>
      <c r="E64" s="23" t="s">
        <v>61</v>
      </c>
      <c r="F64" s="23" t="s">
        <v>82</v>
      </c>
      <c r="G64" s="23"/>
      <c r="H64" s="23" t="n">
        <v>1</v>
      </c>
      <c r="I64" s="23" t="n">
        <v>21</v>
      </c>
      <c r="J64" s="23" t="n">
        <v>4</v>
      </c>
      <c r="K64" s="23" t="n">
        <v>6</v>
      </c>
      <c r="L64" s="23" t="n">
        <v>2</v>
      </c>
      <c r="M64" s="23" t="n">
        <v>15</v>
      </c>
      <c r="N64" s="23" t="n">
        <f aca="false">IF(F64="Delivered",SUM(H64:M64),"")</f>
        <v>49</v>
      </c>
      <c r="O64" s="23" t="n">
        <v>3</v>
      </c>
      <c r="P64" s="23" t="s">
        <v>85</v>
      </c>
      <c r="Q64" s="23" t="str">
        <f aca="false">IF(F64="Delivered",IF(N64&gt;Assumptions!$B$4,"Yes","No"),"")</f>
        <v>Yes</v>
      </c>
    </row>
    <row r="65" customFormat="false" ht="15" hidden="false" customHeight="false" outlineLevel="0" collapsed="false">
      <c r="A65" s="23" t="s">
        <v>148</v>
      </c>
      <c r="B65" s="24" t="n">
        <v>46282</v>
      </c>
      <c r="C65" s="23" t="n">
        <v>15</v>
      </c>
      <c r="D65" s="23" t="str">
        <f aca="false">IF(OR(AND(C65&gt;=Assumptions!$B$5,C65&lt;=Assumptions!$B$6),AND(C65&gt;=Assumptions!$B$7,C65&lt;=Assumptions!$B$8)),"Peak","Off-peak")</f>
        <v>Off-peak</v>
      </c>
      <c r="E65" s="23" t="s">
        <v>60</v>
      </c>
      <c r="F65" s="23" t="s">
        <v>82</v>
      </c>
      <c r="G65" s="23"/>
      <c r="H65" s="23" t="n">
        <v>2</v>
      </c>
      <c r="I65" s="23" t="n">
        <v>7</v>
      </c>
      <c r="J65" s="23" t="n">
        <v>6</v>
      </c>
      <c r="K65" s="23" t="n">
        <v>11</v>
      </c>
      <c r="L65" s="23" t="n">
        <v>3</v>
      </c>
      <c r="M65" s="23" t="n">
        <v>6</v>
      </c>
      <c r="N65" s="23" t="n">
        <f aca="false">IF(F65="Delivered",SUM(H65:M65),"")</f>
        <v>35</v>
      </c>
      <c r="O65" s="23" t="n">
        <v>3</v>
      </c>
      <c r="P65" s="23" t="s">
        <v>85</v>
      </c>
      <c r="Q65" s="23" t="str">
        <f aca="false">IF(F65="Delivered",IF(N65&gt;Assumptions!$B$4,"Yes","No"),"")</f>
        <v>No</v>
      </c>
    </row>
    <row r="66" customFormat="false" ht="15" hidden="false" customHeight="false" outlineLevel="0" collapsed="false">
      <c r="A66" s="23" t="s">
        <v>149</v>
      </c>
      <c r="B66" s="24" t="n">
        <v>46282</v>
      </c>
      <c r="C66" s="23" t="n">
        <v>17</v>
      </c>
      <c r="D66" s="23" t="str">
        <f aca="false">IF(OR(AND(C66&gt;=Assumptions!$B$5,C66&lt;=Assumptions!$B$6),AND(C66&gt;=Assumptions!$B$7,C66&lt;=Assumptions!$B$8)),"Peak","Off-peak")</f>
        <v>Off-peak</v>
      </c>
      <c r="E66" s="23" t="s">
        <v>64</v>
      </c>
      <c r="F66" s="23" t="s">
        <v>82</v>
      </c>
      <c r="G66" s="23"/>
      <c r="H66" s="23" t="n">
        <v>1</v>
      </c>
      <c r="I66" s="23" t="n">
        <v>10</v>
      </c>
      <c r="J66" s="23" t="n">
        <v>2</v>
      </c>
      <c r="K66" s="23" t="n">
        <v>7</v>
      </c>
      <c r="L66" s="23" t="n">
        <v>2</v>
      </c>
      <c r="M66" s="23" t="n">
        <v>8</v>
      </c>
      <c r="N66" s="23" t="n">
        <f aca="false">IF(F66="Delivered",SUM(H66:M66),"")</f>
        <v>30</v>
      </c>
      <c r="O66" s="23" t="n">
        <v>3</v>
      </c>
      <c r="P66" s="23" t="s">
        <v>87</v>
      </c>
      <c r="Q66" s="23" t="str">
        <f aca="false">IF(F66="Delivered",IF(N66&gt;Assumptions!$B$4,"Yes","No"),"")</f>
        <v>No</v>
      </c>
    </row>
    <row r="67" customFormat="false" ht="15" hidden="false" customHeight="false" outlineLevel="0" collapsed="false">
      <c r="A67" s="23" t="s">
        <v>150</v>
      </c>
      <c r="B67" s="24" t="n">
        <v>46282</v>
      </c>
      <c r="C67" s="23" t="n">
        <v>19</v>
      </c>
      <c r="D67" s="23" t="str">
        <f aca="false">IF(OR(AND(C67&gt;=Assumptions!$B$5,C67&lt;=Assumptions!$B$6),AND(C67&gt;=Assumptions!$B$7,C67&lt;=Assumptions!$B$8)),"Peak","Off-peak")</f>
        <v>Peak</v>
      </c>
      <c r="E67" s="23" t="s">
        <v>58</v>
      </c>
      <c r="F67" s="23" t="s">
        <v>82</v>
      </c>
      <c r="G67" s="23"/>
      <c r="H67" s="23" t="n">
        <v>7</v>
      </c>
      <c r="I67" s="23" t="n">
        <v>16</v>
      </c>
      <c r="J67" s="23" t="n">
        <v>9</v>
      </c>
      <c r="K67" s="23" t="n">
        <v>5</v>
      </c>
      <c r="L67" s="23" t="n">
        <v>7</v>
      </c>
      <c r="M67" s="23" t="n">
        <v>7</v>
      </c>
      <c r="N67" s="23" t="n">
        <f aca="false">IF(F67="Delivered",SUM(H67:M67),"")</f>
        <v>51</v>
      </c>
      <c r="O67" s="23" t="n">
        <v>4</v>
      </c>
      <c r="P67" s="23" t="s">
        <v>85</v>
      </c>
      <c r="Q67" s="23" t="str">
        <f aca="false">IF(F67="Delivered",IF(N67&gt;Assumptions!$B$4,"Yes","No"),"")</f>
        <v>Yes</v>
      </c>
    </row>
    <row r="68" customFormat="false" ht="15" hidden="false" customHeight="false" outlineLevel="0" collapsed="false">
      <c r="A68" s="23" t="s">
        <v>151</v>
      </c>
      <c r="B68" s="24" t="n">
        <v>46282</v>
      </c>
      <c r="C68" s="23" t="n">
        <v>20</v>
      </c>
      <c r="D68" s="23" t="str">
        <f aca="false">IF(OR(AND(C68&gt;=Assumptions!$B$5,C68&lt;=Assumptions!$B$6),AND(C68&gt;=Assumptions!$B$7,C68&lt;=Assumptions!$B$8)),"Peak","Off-peak")</f>
        <v>Peak</v>
      </c>
      <c r="E68" s="23" t="s">
        <v>63</v>
      </c>
      <c r="F68" s="23" t="s">
        <v>82</v>
      </c>
      <c r="G68" s="23"/>
      <c r="H68" s="23" t="n">
        <v>1</v>
      </c>
      <c r="I68" s="23" t="n">
        <v>13</v>
      </c>
      <c r="J68" s="23" t="n">
        <v>4</v>
      </c>
      <c r="K68" s="23" t="n">
        <v>9</v>
      </c>
      <c r="L68" s="23" t="n">
        <v>4</v>
      </c>
      <c r="M68" s="23" t="n">
        <v>14</v>
      </c>
      <c r="N68" s="23" t="n">
        <f aca="false">IF(F68="Delivered",SUM(H68:M68),"")</f>
        <v>45</v>
      </c>
      <c r="O68" s="23" t="n">
        <v>3</v>
      </c>
      <c r="P68" s="23" t="s">
        <v>85</v>
      </c>
      <c r="Q68" s="23" t="str">
        <f aca="false">IF(F68="Delivered",IF(N68&gt;Assumptions!$B$4,"Yes","No"),"")</f>
        <v>No</v>
      </c>
    </row>
    <row r="69" customFormat="false" ht="15" hidden="false" customHeight="false" outlineLevel="0" collapsed="false">
      <c r="A69" s="23" t="s">
        <v>152</v>
      </c>
      <c r="B69" s="24" t="n">
        <v>46282</v>
      </c>
      <c r="C69" s="23" t="n">
        <v>21</v>
      </c>
      <c r="D69" s="23" t="str">
        <f aca="false">IF(OR(AND(C69&gt;=Assumptions!$B$5,C69&lt;=Assumptions!$B$6),AND(C69&gt;=Assumptions!$B$7,C69&lt;=Assumptions!$B$8)),"Peak","Off-peak")</f>
        <v>Peak</v>
      </c>
      <c r="E69" s="23" t="s">
        <v>62</v>
      </c>
      <c r="F69" s="23" t="s">
        <v>82</v>
      </c>
      <c r="G69" s="23"/>
      <c r="H69" s="23" t="n">
        <v>1</v>
      </c>
      <c r="I69" s="23" t="n">
        <v>30</v>
      </c>
      <c r="J69" s="23" t="n">
        <v>6</v>
      </c>
      <c r="K69" s="23" t="n">
        <v>11</v>
      </c>
      <c r="L69" s="23" t="n">
        <v>4</v>
      </c>
      <c r="M69" s="23" t="n">
        <v>9</v>
      </c>
      <c r="N69" s="23" t="n">
        <f aca="false">IF(F69="Delivered",SUM(H69:M69),"")</f>
        <v>61</v>
      </c>
      <c r="O69" s="23" t="n">
        <v>4</v>
      </c>
      <c r="P69" s="23" t="s">
        <v>85</v>
      </c>
      <c r="Q69" s="23" t="str">
        <f aca="false">IF(F69="Delivered",IF(N69&gt;Assumptions!$B$4,"Yes","No"),"")</f>
        <v>Yes</v>
      </c>
    </row>
    <row r="70" customFormat="false" ht="15" hidden="false" customHeight="false" outlineLevel="0" collapsed="false">
      <c r="A70" s="23" t="s">
        <v>153</v>
      </c>
      <c r="B70" s="24" t="n">
        <v>46283</v>
      </c>
      <c r="C70" s="23" t="n">
        <v>10</v>
      </c>
      <c r="D70" s="23" t="str">
        <f aca="false">IF(OR(AND(C70&gt;=Assumptions!$B$5,C70&lt;=Assumptions!$B$6),AND(C70&gt;=Assumptions!$B$7,C70&lt;=Assumptions!$B$8)),"Peak","Off-peak")</f>
        <v>Off-peak</v>
      </c>
      <c r="E70" s="23" t="s">
        <v>57</v>
      </c>
      <c r="F70" s="23" t="s">
        <v>82</v>
      </c>
      <c r="G70" s="23"/>
      <c r="H70" s="23" t="n">
        <v>1</v>
      </c>
      <c r="I70" s="23" t="n">
        <v>8</v>
      </c>
      <c r="J70" s="23" t="n">
        <v>3</v>
      </c>
      <c r="K70" s="23" t="n">
        <v>8</v>
      </c>
      <c r="L70" s="23" t="n">
        <v>1</v>
      </c>
      <c r="M70" s="23" t="n">
        <v>18</v>
      </c>
      <c r="N70" s="23" t="n">
        <f aca="false">IF(F70="Delivered",SUM(H70:M70),"")</f>
        <v>39</v>
      </c>
      <c r="O70" s="23" t="n">
        <v>5</v>
      </c>
      <c r="P70" s="23" t="s">
        <v>85</v>
      </c>
      <c r="Q70" s="23" t="str">
        <f aca="false">IF(F70="Delivered",IF(N70&gt;Assumptions!$B$4,"Yes","No"),"")</f>
        <v>No</v>
      </c>
    </row>
    <row r="71" customFormat="false" ht="15" hidden="false" customHeight="false" outlineLevel="0" collapsed="false">
      <c r="A71" s="23" t="s">
        <v>154</v>
      </c>
      <c r="B71" s="24" t="n">
        <v>46283</v>
      </c>
      <c r="C71" s="23" t="n">
        <v>10</v>
      </c>
      <c r="D71" s="23" t="str">
        <f aca="false">IF(OR(AND(C71&gt;=Assumptions!$B$5,C71&lt;=Assumptions!$B$6),AND(C71&gt;=Assumptions!$B$7,C71&lt;=Assumptions!$B$8)),"Peak","Off-peak")</f>
        <v>Off-peak</v>
      </c>
      <c r="E71" s="23" t="s">
        <v>61</v>
      </c>
      <c r="F71" s="23" t="s">
        <v>82</v>
      </c>
      <c r="G71" s="23"/>
      <c r="H71" s="23" t="n">
        <v>3</v>
      </c>
      <c r="I71" s="23" t="n">
        <v>10</v>
      </c>
      <c r="J71" s="23" t="n">
        <v>2</v>
      </c>
      <c r="K71" s="23" t="n">
        <v>3</v>
      </c>
      <c r="L71" s="23" t="n">
        <v>3</v>
      </c>
      <c r="M71" s="23" t="n">
        <v>5</v>
      </c>
      <c r="N71" s="23" t="n">
        <f aca="false">IF(F71="Delivered",SUM(H71:M71),"")</f>
        <v>26</v>
      </c>
      <c r="O71" s="23" t="n">
        <v>5</v>
      </c>
      <c r="P71" s="23" t="s">
        <v>85</v>
      </c>
      <c r="Q71" s="23" t="str">
        <f aca="false">IF(F71="Delivered",IF(N71&gt;Assumptions!$B$4,"Yes","No"),"")</f>
        <v>No</v>
      </c>
    </row>
    <row r="72" customFormat="false" ht="15" hidden="false" customHeight="false" outlineLevel="0" collapsed="false">
      <c r="A72" s="23" t="s">
        <v>155</v>
      </c>
      <c r="B72" s="24" t="n">
        <v>46283</v>
      </c>
      <c r="C72" s="23" t="n">
        <v>10</v>
      </c>
      <c r="D72" s="23" t="str">
        <f aca="false">IF(OR(AND(C72&gt;=Assumptions!$B$5,C72&lt;=Assumptions!$B$6),AND(C72&gt;=Assumptions!$B$7,C72&lt;=Assumptions!$B$8)),"Peak","Off-peak")</f>
        <v>Off-peak</v>
      </c>
      <c r="E72" s="23" t="s">
        <v>60</v>
      </c>
      <c r="F72" s="23" t="s">
        <v>82</v>
      </c>
      <c r="G72" s="23"/>
      <c r="H72" s="23" t="n">
        <v>2</v>
      </c>
      <c r="I72" s="23" t="n">
        <v>19</v>
      </c>
      <c r="J72" s="23" t="n">
        <v>3</v>
      </c>
      <c r="K72" s="23" t="n">
        <v>10</v>
      </c>
      <c r="L72" s="23" t="n">
        <v>1</v>
      </c>
      <c r="M72" s="23" t="n">
        <v>5</v>
      </c>
      <c r="N72" s="23" t="n">
        <f aca="false">IF(F72="Delivered",SUM(H72:M72),"")</f>
        <v>40</v>
      </c>
      <c r="O72" s="23" t="n">
        <v>4</v>
      </c>
      <c r="P72" s="23" t="s">
        <v>85</v>
      </c>
      <c r="Q72" s="23" t="str">
        <f aca="false">IF(F72="Delivered",IF(N72&gt;Assumptions!$B$4,"Yes","No"),"")</f>
        <v>No</v>
      </c>
    </row>
    <row r="73" customFormat="false" ht="15" hidden="false" customHeight="false" outlineLevel="0" collapsed="false">
      <c r="A73" s="23" t="s">
        <v>156</v>
      </c>
      <c r="B73" s="24" t="n">
        <v>46283</v>
      </c>
      <c r="C73" s="23" t="n">
        <v>11</v>
      </c>
      <c r="D73" s="23" t="str">
        <f aca="false">IF(OR(AND(C73&gt;=Assumptions!$B$5,C73&lt;=Assumptions!$B$6),AND(C73&gt;=Assumptions!$B$7,C73&lt;=Assumptions!$B$8)),"Peak","Off-peak")</f>
        <v>Off-peak</v>
      </c>
      <c r="E73" s="23" t="s">
        <v>61</v>
      </c>
      <c r="F73" s="23" t="s">
        <v>82</v>
      </c>
      <c r="G73" s="23"/>
      <c r="H73" s="23" t="n">
        <v>1</v>
      </c>
      <c r="I73" s="23" t="n">
        <v>11</v>
      </c>
      <c r="J73" s="23" t="n">
        <v>5</v>
      </c>
      <c r="K73" s="23" t="n">
        <v>7</v>
      </c>
      <c r="L73" s="23" t="n">
        <v>0</v>
      </c>
      <c r="M73" s="23" t="n">
        <v>9</v>
      </c>
      <c r="N73" s="23" t="n">
        <f aca="false">IF(F73="Delivered",SUM(H73:M73),"")</f>
        <v>33</v>
      </c>
      <c r="O73" s="23" t="n">
        <v>5</v>
      </c>
      <c r="P73" s="23" t="s">
        <v>85</v>
      </c>
      <c r="Q73" s="23" t="str">
        <f aca="false">IF(F73="Delivered",IF(N73&gt;Assumptions!$B$4,"Yes","No"),"")</f>
        <v>No</v>
      </c>
    </row>
    <row r="74" customFormat="false" ht="15" hidden="false" customHeight="false" outlineLevel="0" collapsed="false">
      <c r="A74" s="23" t="s">
        <v>157</v>
      </c>
      <c r="B74" s="24" t="n">
        <v>46283</v>
      </c>
      <c r="C74" s="23" t="n">
        <v>11</v>
      </c>
      <c r="D74" s="23" t="str">
        <f aca="false">IF(OR(AND(C74&gt;=Assumptions!$B$5,C74&lt;=Assumptions!$B$6),AND(C74&gt;=Assumptions!$B$7,C74&lt;=Assumptions!$B$8)),"Peak","Off-peak")</f>
        <v>Off-peak</v>
      </c>
      <c r="E74" s="23" t="s">
        <v>58</v>
      </c>
      <c r="F74" s="23" t="s">
        <v>82</v>
      </c>
      <c r="G74" s="23"/>
      <c r="H74" s="23" t="n">
        <v>2</v>
      </c>
      <c r="I74" s="23" t="n">
        <v>13</v>
      </c>
      <c r="J74" s="23" t="n">
        <v>3</v>
      </c>
      <c r="K74" s="23" t="n">
        <v>6</v>
      </c>
      <c r="L74" s="23" t="n">
        <v>0</v>
      </c>
      <c r="M74" s="23" t="n">
        <v>11</v>
      </c>
      <c r="N74" s="23" t="n">
        <f aca="false">IF(F74="Delivered",SUM(H74:M74),"")</f>
        <v>35</v>
      </c>
      <c r="O74" s="23" t="n">
        <v>4</v>
      </c>
      <c r="P74" s="23" t="s">
        <v>85</v>
      </c>
      <c r="Q74" s="23" t="str">
        <f aca="false">IF(F74="Delivered",IF(N74&gt;Assumptions!$B$4,"Yes","No"),"")</f>
        <v>No</v>
      </c>
    </row>
    <row r="75" customFormat="false" ht="15" hidden="false" customHeight="false" outlineLevel="0" collapsed="false">
      <c r="A75" s="23" t="s">
        <v>158</v>
      </c>
      <c r="B75" s="24" t="n">
        <v>46283</v>
      </c>
      <c r="C75" s="23" t="n">
        <v>12</v>
      </c>
      <c r="D75" s="23" t="str">
        <f aca="false">IF(OR(AND(C75&gt;=Assumptions!$B$5,C75&lt;=Assumptions!$B$6),AND(C75&gt;=Assumptions!$B$7,C75&lt;=Assumptions!$B$8)),"Peak","Off-peak")</f>
        <v>Peak</v>
      </c>
      <c r="E75" s="23" t="s">
        <v>58</v>
      </c>
      <c r="F75" s="23" t="s">
        <v>82</v>
      </c>
      <c r="G75" s="23"/>
      <c r="H75" s="23" t="n">
        <v>3</v>
      </c>
      <c r="I75" s="23" t="n">
        <v>26</v>
      </c>
      <c r="J75" s="23" t="n">
        <v>3</v>
      </c>
      <c r="K75" s="23" t="n">
        <v>7</v>
      </c>
      <c r="L75" s="23" t="n">
        <v>6</v>
      </c>
      <c r="M75" s="23" t="n">
        <v>7</v>
      </c>
      <c r="N75" s="23" t="n">
        <f aca="false">IF(F75="Delivered",SUM(H75:M75),"")</f>
        <v>52</v>
      </c>
      <c r="O75" s="23" t="n">
        <v>4</v>
      </c>
      <c r="P75" s="23" t="s">
        <v>85</v>
      </c>
      <c r="Q75" s="23" t="str">
        <f aca="false">IF(F75="Delivered",IF(N75&gt;Assumptions!$B$4,"Yes","No"),"")</f>
        <v>Yes</v>
      </c>
    </row>
    <row r="76" customFormat="false" ht="15" hidden="false" customHeight="false" outlineLevel="0" collapsed="false">
      <c r="A76" s="23" t="s">
        <v>159</v>
      </c>
      <c r="B76" s="24" t="n">
        <v>46283</v>
      </c>
      <c r="C76" s="23" t="n">
        <v>12</v>
      </c>
      <c r="D76" s="23" t="str">
        <f aca="false">IF(OR(AND(C76&gt;=Assumptions!$B$5,C76&lt;=Assumptions!$B$6),AND(C76&gt;=Assumptions!$B$7,C76&lt;=Assumptions!$B$8)),"Peak","Off-peak")</f>
        <v>Peak</v>
      </c>
      <c r="E76" s="23" t="s">
        <v>59</v>
      </c>
      <c r="F76" s="23" t="s">
        <v>82</v>
      </c>
      <c r="G76" s="23"/>
      <c r="H76" s="23" t="n">
        <v>4</v>
      </c>
      <c r="I76" s="23" t="n">
        <v>19</v>
      </c>
      <c r="J76" s="23" t="n">
        <v>5</v>
      </c>
      <c r="K76" s="23" t="n">
        <v>5</v>
      </c>
      <c r="L76" s="23" t="n">
        <v>11</v>
      </c>
      <c r="M76" s="23" t="n">
        <v>11</v>
      </c>
      <c r="N76" s="23" t="n">
        <f aca="false">IF(F76="Delivered",SUM(H76:M76),"")</f>
        <v>55</v>
      </c>
      <c r="O76" s="23" t="n">
        <v>3</v>
      </c>
      <c r="P76" s="23" t="s">
        <v>85</v>
      </c>
      <c r="Q76" s="23" t="str">
        <f aca="false">IF(F76="Delivered",IF(N76&gt;Assumptions!$B$4,"Yes","No"),"")</f>
        <v>Yes</v>
      </c>
    </row>
    <row r="77" customFormat="false" ht="15" hidden="false" customHeight="false" outlineLevel="0" collapsed="false">
      <c r="A77" s="23" t="s">
        <v>160</v>
      </c>
      <c r="B77" s="24" t="n">
        <v>46283</v>
      </c>
      <c r="C77" s="23" t="n">
        <v>12</v>
      </c>
      <c r="D77" s="23" t="str">
        <f aca="false">IF(OR(AND(C77&gt;=Assumptions!$B$5,C77&lt;=Assumptions!$B$6),AND(C77&gt;=Assumptions!$B$7,C77&lt;=Assumptions!$B$8)),"Peak","Off-peak")</f>
        <v>Peak</v>
      </c>
      <c r="E77" s="23" t="s">
        <v>59</v>
      </c>
      <c r="F77" s="23" t="s">
        <v>82</v>
      </c>
      <c r="G77" s="23"/>
      <c r="H77" s="23" t="n">
        <v>4</v>
      </c>
      <c r="I77" s="23" t="n">
        <v>22</v>
      </c>
      <c r="J77" s="23" t="n">
        <v>6</v>
      </c>
      <c r="K77" s="23" t="n">
        <v>10</v>
      </c>
      <c r="L77" s="23" t="n">
        <v>3</v>
      </c>
      <c r="M77" s="23" t="n">
        <v>8</v>
      </c>
      <c r="N77" s="23" t="n">
        <f aca="false">IF(F77="Delivered",SUM(H77:M77),"")</f>
        <v>53</v>
      </c>
      <c r="O77" s="23" t="n">
        <v>3</v>
      </c>
      <c r="P77" s="23" t="s">
        <v>85</v>
      </c>
      <c r="Q77" s="23" t="str">
        <f aca="false">IF(F77="Delivered",IF(N77&gt;Assumptions!$B$4,"Yes","No"),"")</f>
        <v>Yes</v>
      </c>
    </row>
    <row r="78" customFormat="false" ht="15" hidden="false" customHeight="false" outlineLevel="0" collapsed="false">
      <c r="A78" s="23" t="s">
        <v>161</v>
      </c>
      <c r="B78" s="24" t="n">
        <v>46283</v>
      </c>
      <c r="C78" s="23" t="n">
        <v>12</v>
      </c>
      <c r="D78" s="23" t="str">
        <f aca="false">IF(OR(AND(C78&gt;=Assumptions!$B$5,C78&lt;=Assumptions!$B$6),AND(C78&gt;=Assumptions!$B$7,C78&lt;=Assumptions!$B$8)),"Peak","Off-peak")</f>
        <v>Peak</v>
      </c>
      <c r="E78" s="23" t="s">
        <v>61</v>
      </c>
      <c r="F78" s="23" t="s">
        <v>82</v>
      </c>
      <c r="G78" s="23"/>
      <c r="H78" s="23" t="n">
        <v>5</v>
      </c>
      <c r="I78" s="23" t="n">
        <v>6</v>
      </c>
      <c r="J78" s="23" t="n">
        <v>5</v>
      </c>
      <c r="K78" s="23" t="n">
        <v>4</v>
      </c>
      <c r="L78" s="23" t="n">
        <v>7</v>
      </c>
      <c r="M78" s="23" t="n">
        <v>9</v>
      </c>
      <c r="N78" s="23" t="n">
        <f aca="false">IF(F78="Delivered",SUM(H78:M78),"")</f>
        <v>36</v>
      </c>
      <c r="O78" s="23" t="n">
        <v>4</v>
      </c>
      <c r="P78" s="23" t="s">
        <v>85</v>
      </c>
      <c r="Q78" s="23" t="str">
        <f aca="false">IF(F78="Delivered",IF(N78&gt;Assumptions!$B$4,"Yes","No"),"")</f>
        <v>No</v>
      </c>
    </row>
    <row r="79" customFormat="false" ht="15" hidden="false" customHeight="false" outlineLevel="0" collapsed="false">
      <c r="A79" s="23" t="s">
        <v>162</v>
      </c>
      <c r="B79" s="24" t="n">
        <v>46283</v>
      </c>
      <c r="C79" s="23" t="n">
        <v>13</v>
      </c>
      <c r="D79" s="23" t="str">
        <f aca="false">IF(OR(AND(C79&gt;=Assumptions!$B$5,C79&lt;=Assumptions!$B$6),AND(C79&gt;=Assumptions!$B$7,C79&lt;=Assumptions!$B$8)),"Peak","Off-peak")</f>
        <v>Peak</v>
      </c>
      <c r="E79" s="23" t="s">
        <v>59</v>
      </c>
      <c r="F79" s="23" t="s">
        <v>82</v>
      </c>
      <c r="G79" s="23"/>
      <c r="H79" s="23" t="n">
        <v>3</v>
      </c>
      <c r="I79" s="23" t="n">
        <v>13</v>
      </c>
      <c r="J79" s="23" t="n">
        <v>9</v>
      </c>
      <c r="K79" s="23" t="n">
        <v>7</v>
      </c>
      <c r="L79" s="23" t="n">
        <v>10</v>
      </c>
      <c r="M79" s="23" t="n">
        <v>6</v>
      </c>
      <c r="N79" s="23" t="n">
        <f aca="false">IF(F79="Delivered",SUM(H79:M79),"")</f>
        <v>48</v>
      </c>
      <c r="O79" s="23" t="n">
        <v>4</v>
      </c>
      <c r="P79" s="23" t="s">
        <v>85</v>
      </c>
      <c r="Q79" s="23" t="str">
        <f aca="false">IF(F79="Delivered",IF(N79&gt;Assumptions!$B$4,"Yes","No"),"")</f>
        <v>Yes</v>
      </c>
    </row>
    <row r="80" customFormat="false" ht="15" hidden="false" customHeight="false" outlineLevel="0" collapsed="false">
      <c r="A80" s="23" t="s">
        <v>163</v>
      </c>
      <c r="B80" s="24" t="n">
        <v>46283</v>
      </c>
      <c r="C80" s="23" t="n">
        <v>13</v>
      </c>
      <c r="D80" s="23" t="str">
        <f aca="false">IF(OR(AND(C80&gt;=Assumptions!$B$5,C80&lt;=Assumptions!$B$6),AND(C80&gt;=Assumptions!$B$7,C80&lt;=Assumptions!$B$8)),"Peak","Off-peak")</f>
        <v>Peak</v>
      </c>
      <c r="E80" s="23" t="s">
        <v>57</v>
      </c>
      <c r="F80" s="23" t="s">
        <v>82</v>
      </c>
      <c r="G80" s="23"/>
      <c r="H80" s="23" t="n">
        <v>3</v>
      </c>
      <c r="I80" s="23" t="n">
        <v>9</v>
      </c>
      <c r="J80" s="23" t="n">
        <v>6</v>
      </c>
      <c r="K80" s="23" t="n">
        <v>11</v>
      </c>
      <c r="L80" s="23" t="n">
        <v>2</v>
      </c>
      <c r="M80" s="23" t="n">
        <v>8</v>
      </c>
      <c r="N80" s="23" t="n">
        <f aca="false">IF(F80="Delivered",SUM(H80:M80),"")</f>
        <v>39</v>
      </c>
      <c r="O80" s="23" t="n">
        <v>4</v>
      </c>
      <c r="P80" s="23" t="s">
        <v>85</v>
      </c>
      <c r="Q80" s="23" t="str">
        <f aca="false">IF(F80="Delivered",IF(N80&gt;Assumptions!$B$4,"Yes","No"),"")</f>
        <v>No</v>
      </c>
    </row>
    <row r="81" customFormat="false" ht="15" hidden="false" customHeight="false" outlineLevel="0" collapsed="false">
      <c r="A81" s="23" t="s">
        <v>164</v>
      </c>
      <c r="B81" s="24" t="n">
        <v>46283</v>
      </c>
      <c r="C81" s="23" t="n">
        <v>14</v>
      </c>
      <c r="D81" s="23" t="str">
        <f aca="false">IF(OR(AND(C81&gt;=Assumptions!$B$5,C81&lt;=Assumptions!$B$6),AND(C81&gt;=Assumptions!$B$7,C81&lt;=Assumptions!$B$8)),"Peak","Off-peak")</f>
        <v>Off-peak</v>
      </c>
      <c r="E81" s="23" t="s">
        <v>64</v>
      </c>
      <c r="F81" s="23" t="s">
        <v>82</v>
      </c>
      <c r="G81" s="23"/>
      <c r="H81" s="23" t="n">
        <v>3</v>
      </c>
      <c r="I81" s="23" t="n">
        <v>7</v>
      </c>
      <c r="J81" s="23" t="n">
        <v>6</v>
      </c>
      <c r="K81" s="23" t="n">
        <v>8</v>
      </c>
      <c r="L81" s="23" t="n">
        <v>2</v>
      </c>
      <c r="M81" s="23" t="n">
        <v>12</v>
      </c>
      <c r="N81" s="23" t="n">
        <f aca="false">IF(F81="Delivered",SUM(H81:M81),"")</f>
        <v>38</v>
      </c>
      <c r="O81" s="23" t="n">
        <v>4</v>
      </c>
      <c r="P81" s="23" t="s">
        <v>83</v>
      </c>
      <c r="Q81" s="23" t="str">
        <f aca="false">IF(F81="Delivered",IF(N81&gt;Assumptions!$B$4,"Yes","No"),"")</f>
        <v>No</v>
      </c>
    </row>
    <row r="82" customFormat="false" ht="15" hidden="false" customHeight="false" outlineLevel="0" collapsed="false">
      <c r="A82" s="23" t="s">
        <v>165</v>
      </c>
      <c r="B82" s="24" t="n">
        <v>46283</v>
      </c>
      <c r="C82" s="23" t="n">
        <v>14</v>
      </c>
      <c r="D82" s="23" t="str">
        <f aca="false">IF(OR(AND(C82&gt;=Assumptions!$B$5,C82&lt;=Assumptions!$B$6),AND(C82&gt;=Assumptions!$B$7,C82&lt;=Assumptions!$B$8)),"Peak","Off-peak")</f>
        <v>Off-peak</v>
      </c>
      <c r="E82" s="23" t="s">
        <v>63</v>
      </c>
      <c r="F82" s="23" t="s">
        <v>82</v>
      </c>
      <c r="G82" s="23"/>
      <c r="H82" s="23" t="n">
        <v>2</v>
      </c>
      <c r="I82" s="23" t="n">
        <v>5</v>
      </c>
      <c r="J82" s="23" t="n">
        <v>6</v>
      </c>
      <c r="K82" s="23" t="n">
        <v>7</v>
      </c>
      <c r="L82" s="23" t="n">
        <v>1</v>
      </c>
      <c r="M82" s="23" t="n">
        <v>14</v>
      </c>
      <c r="N82" s="23" t="n">
        <f aca="false">IF(F82="Delivered",SUM(H82:M82),"")</f>
        <v>35</v>
      </c>
      <c r="O82" s="23" t="n">
        <v>5</v>
      </c>
      <c r="P82" s="23" t="s">
        <v>85</v>
      </c>
      <c r="Q82" s="23" t="str">
        <f aca="false">IF(F82="Delivered",IF(N82&gt;Assumptions!$B$4,"Yes","No"),"")</f>
        <v>No</v>
      </c>
    </row>
    <row r="83" customFormat="false" ht="15" hidden="false" customHeight="false" outlineLevel="0" collapsed="false">
      <c r="A83" s="23" t="s">
        <v>166</v>
      </c>
      <c r="B83" s="24" t="n">
        <v>46283</v>
      </c>
      <c r="C83" s="23" t="n">
        <v>15</v>
      </c>
      <c r="D83" s="23" t="str">
        <f aca="false">IF(OR(AND(C83&gt;=Assumptions!$B$5,C83&lt;=Assumptions!$B$6),AND(C83&gt;=Assumptions!$B$7,C83&lt;=Assumptions!$B$8)),"Peak","Off-peak")</f>
        <v>Off-peak</v>
      </c>
      <c r="E83" s="23" t="s">
        <v>58</v>
      </c>
      <c r="F83" s="23" t="s">
        <v>82</v>
      </c>
      <c r="G83" s="23"/>
      <c r="H83" s="23" t="n">
        <v>1</v>
      </c>
      <c r="I83" s="23" t="n">
        <v>12</v>
      </c>
      <c r="J83" s="23" t="n">
        <v>4</v>
      </c>
      <c r="K83" s="23" t="n">
        <v>6</v>
      </c>
      <c r="L83" s="23" t="n">
        <v>1</v>
      </c>
      <c r="M83" s="23" t="n">
        <v>6</v>
      </c>
      <c r="N83" s="23" t="n">
        <f aca="false">IF(F83="Delivered",SUM(H83:M83),"")</f>
        <v>30</v>
      </c>
      <c r="O83" s="23" t="n">
        <v>5</v>
      </c>
      <c r="P83" s="23" t="s">
        <v>85</v>
      </c>
      <c r="Q83" s="23" t="str">
        <f aca="false">IF(F83="Delivered",IF(N83&gt;Assumptions!$B$4,"Yes","No"),"")</f>
        <v>No</v>
      </c>
    </row>
    <row r="84" customFormat="false" ht="15" hidden="false" customHeight="false" outlineLevel="0" collapsed="false">
      <c r="A84" s="23" t="s">
        <v>167</v>
      </c>
      <c r="B84" s="24" t="n">
        <v>46283</v>
      </c>
      <c r="C84" s="23" t="n">
        <v>15</v>
      </c>
      <c r="D84" s="23" t="str">
        <f aca="false">IF(OR(AND(C84&gt;=Assumptions!$B$5,C84&lt;=Assumptions!$B$6),AND(C84&gt;=Assumptions!$B$7,C84&lt;=Assumptions!$B$8)),"Peak","Off-peak")</f>
        <v>Off-peak</v>
      </c>
      <c r="E84" s="23" t="s">
        <v>59</v>
      </c>
      <c r="F84" s="23" t="s">
        <v>82</v>
      </c>
      <c r="G84" s="23"/>
      <c r="H84" s="23" t="n">
        <v>1</v>
      </c>
      <c r="I84" s="23" t="n">
        <v>22</v>
      </c>
      <c r="J84" s="23" t="n">
        <v>1</v>
      </c>
      <c r="K84" s="23" t="n">
        <v>6</v>
      </c>
      <c r="L84" s="23" t="n">
        <v>3</v>
      </c>
      <c r="M84" s="23" t="n">
        <v>9</v>
      </c>
      <c r="N84" s="23" t="n">
        <f aca="false">IF(F84="Delivered",SUM(H84:M84),"")</f>
        <v>42</v>
      </c>
      <c r="O84" s="23" t="n">
        <v>5</v>
      </c>
      <c r="P84" s="23" t="s">
        <v>85</v>
      </c>
      <c r="Q84" s="23" t="str">
        <f aca="false">IF(F84="Delivered",IF(N84&gt;Assumptions!$B$4,"Yes","No"),"")</f>
        <v>No</v>
      </c>
    </row>
    <row r="85" customFormat="false" ht="15" hidden="false" customHeight="false" outlineLevel="0" collapsed="false">
      <c r="A85" s="23" t="s">
        <v>168</v>
      </c>
      <c r="B85" s="24" t="n">
        <v>46283</v>
      </c>
      <c r="C85" s="23" t="n">
        <v>15</v>
      </c>
      <c r="D85" s="23" t="str">
        <f aca="false">IF(OR(AND(C85&gt;=Assumptions!$B$5,C85&lt;=Assumptions!$B$6),AND(C85&gt;=Assumptions!$B$7,C85&lt;=Assumptions!$B$8)),"Peak","Off-peak")</f>
        <v>Off-peak</v>
      </c>
      <c r="E85" s="23" t="s">
        <v>64</v>
      </c>
      <c r="F85" s="23" t="s">
        <v>82</v>
      </c>
      <c r="G85" s="23"/>
      <c r="H85" s="23" t="n">
        <v>2</v>
      </c>
      <c r="I85" s="23" t="n">
        <v>14</v>
      </c>
      <c r="J85" s="23" t="n">
        <v>6</v>
      </c>
      <c r="K85" s="23" t="n">
        <v>5</v>
      </c>
      <c r="L85" s="23" t="n">
        <v>6</v>
      </c>
      <c r="M85" s="23" t="n">
        <v>16</v>
      </c>
      <c r="N85" s="23" t="n">
        <f aca="false">IF(F85="Delivered",SUM(H85:M85),"")</f>
        <v>49</v>
      </c>
      <c r="O85" s="23" t="n">
        <v>4</v>
      </c>
      <c r="P85" s="23" t="s">
        <v>85</v>
      </c>
      <c r="Q85" s="23" t="str">
        <f aca="false">IF(F85="Delivered",IF(N85&gt;Assumptions!$B$4,"Yes","No"),"")</f>
        <v>Yes</v>
      </c>
    </row>
    <row r="86" customFormat="false" ht="15" hidden="false" customHeight="false" outlineLevel="0" collapsed="false">
      <c r="A86" s="23" t="s">
        <v>169</v>
      </c>
      <c r="B86" s="24" t="n">
        <v>46283</v>
      </c>
      <c r="C86" s="23" t="n">
        <v>15</v>
      </c>
      <c r="D86" s="23" t="str">
        <f aca="false">IF(OR(AND(C86&gt;=Assumptions!$B$5,C86&lt;=Assumptions!$B$6),AND(C86&gt;=Assumptions!$B$7,C86&lt;=Assumptions!$B$8)),"Peak","Off-peak")</f>
        <v>Off-peak</v>
      </c>
      <c r="E86" s="23" t="s">
        <v>63</v>
      </c>
      <c r="F86" s="23" t="s">
        <v>82</v>
      </c>
      <c r="G86" s="23"/>
      <c r="H86" s="23" t="n">
        <v>1</v>
      </c>
      <c r="I86" s="23" t="n">
        <v>3</v>
      </c>
      <c r="J86" s="23" t="n">
        <v>4</v>
      </c>
      <c r="K86" s="23" t="n">
        <v>3</v>
      </c>
      <c r="L86" s="23" t="n">
        <v>1</v>
      </c>
      <c r="M86" s="23" t="n">
        <v>11</v>
      </c>
      <c r="N86" s="23" t="n">
        <f aca="false">IF(F86="Delivered",SUM(H86:M86),"")</f>
        <v>23</v>
      </c>
      <c r="O86" s="23" t="n">
        <v>5</v>
      </c>
      <c r="P86" s="23" t="s">
        <v>85</v>
      </c>
      <c r="Q86" s="23" t="str">
        <f aca="false">IF(F86="Delivered",IF(N86&gt;Assumptions!$B$4,"Yes","No"),"")</f>
        <v>No</v>
      </c>
    </row>
    <row r="87" customFormat="false" ht="15" hidden="false" customHeight="false" outlineLevel="0" collapsed="false">
      <c r="A87" s="23" t="s">
        <v>170</v>
      </c>
      <c r="B87" s="24" t="n">
        <v>46283</v>
      </c>
      <c r="C87" s="23" t="n">
        <v>16</v>
      </c>
      <c r="D87" s="23" t="str">
        <f aca="false">IF(OR(AND(C87&gt;=Assumptions!$B$5,C87&lt;=Assumptions!$B$6),AND(C87&gt;=Assumptions!$B$7,C87&lt;=Assumptions!$B$8)),"Peak","Off-peak")</f>
        <v>Off-peak</v>
      </c>
      <c r="E87" s="23" t="s">
        <v>59</v>
      </c>
      <c r="F87" s="23" t="s">
        <v>82</v>
      </c>
      <c r="G87" s="23"/>
      <c r="H87" s="23" t="n">
        <v>1</v>
      </c>
      <c r="I87" s="23" t="n">
        <v>7</v>
      </c>
      <c r="J87" s="23" t="n">
        <v>2</v>
      </c>
      <c r="K87" s="23" t="n">
        <v>5</v>
      </c>
      <c r="L87" s="23" t="n">
        <v>2</v>
      </c>
      <c r="M87" s="23" t="n">
        <v>8</v>
      </c>
      <c r="N87" s="23" t="n">
        <f aca="false">IF(F87="Delivered",SUM(H87:M87),"")</f>
        <v>25</v>
      </c>
      <c r="O87" s="23" t="n">
        <v>5</v>
      </c>
      <c r="P87" s="23" t="s">
        <v>85</v>
      </c>
      <c r="Q87" s="23" t="str">
        <f aca="false">IF(F87="Delivered",IF(N87&gt;Assumptions!$B$4,"Yes","No"),"")</f>
        <v>No</v>
      </c>
    </row>
    <row r="88" customFormat="false" ht="15" hidden="false" customHeight="false" outlineLevel="0" collapsed="false">
      <c r="A88" s="23" t="s">
        <v>171</v>
      </c>
      <c r="B88" s="24" t="n">
        <v>46283</v>
      </c>
      <c r="C88" s="23" t="n">
        <v>17</v>
      </c>
      <c r="D88" s="23" t="str">
        <f aca="false">IF(OR(AND(C88&gt;=Assumptions!$B$5,C88&lt;=Assumptions!$B$6),AND(C88&gt;=Assumptions!$B$7,C88&lt;=Assumptions!$B$8)),"Peak","Off-peak")</f>
        <v>Off-peak</v>
      </c>
      <c r="E88" s="23" t="s">
        <v>60</v>
      </c>
      <c r="F88" s="23" t="s">
        <v>82</v>
      </c>
      <c r="G88" s="23"/>
      <c r="H88" s="23" t="n">
        <v>1</v>
      </c>
      <c r="I88" s="23" t="n">
        <v>6</v>
      </c>
      <c r="J88" s="23" t="n">
        <v>1</v>
      </c>
      <c r="K88" s="23" t="n">
        <v>7</v>
      </c>
      <c r="L88" s="23" t="n">
        <v>1</v>
      </c>
      <c r="M88" s="23" t="n">
        <v>9</v>
      </c>
      <c r="N88" s="23" t="n">
        <f aca="false">IF(F88="Delivered",SUM(H88:M88),"")</f>
        <v>25</v>
      </c>
      <c r="O88" s="23" t="n">
        <v>5</v>
      </c>
      <c r="P88" s="23" t="s">
        <v>85</v>
      </c>
      <c r="Q88" s="23" t="str">
        <f aca="false">IF(F88="Delivered",IF(N88&gt;Assumptions!$B$4,"Yes","No"),"")</f>
        <v>No</v>
      </c>
    </row>
    <row r="89" customFormat="false" ht="15" hidden="false" customHeight="false" outlineLevel="0" collapsed="false">
      <c r="A89" s="23" t="s">
        <v>172</v>
      </c>
      <c r="B89" s="24" t="n">
        <v>46283</v>
      </c>
      <c r="C89" s="23" t="n">
        <v>17</v>
      </c>
      <c r="D89" s="23" t="str">
        <f aca="false">IF(OR(AND(C89&gt;=Assumptions!$B$5,C89&lt;=Assumptions!$B$6),AND(C89&gt;=Assumptions!$B$7,C89&lt;=Assumptions!$B$8)),"Peak","Off-peak")</f>
        <v>Off-peak</v>
      </c>
      <c r="E89" s="23" t="s">
        <v>62</v>
      </c>
      <c r="F89" s="23" t="s">
        <v>82</v>
      </c>
      <c r="G89" s="23"/>
      <c r="H89" s="23" t="n">
        <v>2</v>
      </c>
      <c r="I89" s="23" t="n">
        <v>13</v>
      </c>
      <c r="J89" s="23" t="n">
        <v>3</v>
      </c>
      <c r="K89" s="23" t="n">
        <v>5</v>
      </c>
      <c r="L89" s="23" t="n">
        <v>3</v>
      </c>
      <c r="M89" s="23" t="n">
        <v>10</v>
      </c>
      <c r="N89" s="23" t="n">
        <f aca="false">IF(F89="Delivered",SUM(H89:M89),"")</f>
        <v>36</v>
      </c>
      <c r="O89" s="23" t="n">
        <v>5</v>
      </c>
      <c r="P89" s="23" t="s">
        <v>85</v>
      </c>
      <c r="Q89" s="23" t="str">
        <f aca="false">IF(F89="Delivered",IF(N89&gt;Assumptions!$B$4,"Yes","No"),"")</f>
        <v>No</v>
      </c>
    </row>
    <row r="90" customFormat="false" ht="15" hidden="false" customHeight="false" outlineLevel="0" collapsed="false">
      <c r="A90" s="23" t="s">
        <v>173</v>
      </c>
      <c r="B90" s="24" t="n">
        <v>46283</v>
      </c>
      <c r="C90" s="23" t="n">
        <v>18</v>
      </c>
      <c r="D90" s="23" t="str">
        <f aca="false">IF(OR(AND(C90&gt;=Assumptions!$B$5,C90&lt;=Assumptions!$B$6),AND(C90&gt;=Assumptions!$B$7,C90&lt;=Assumptions!$B$8)),"Peak","Off-peak")</f>
        <v>Off-peak</v>
      </c>
      <c r="E90" s="23" t="s">
        <v>63</v>
      </c>
      <c r="F90" s="23" t="s">
        <v>82</v>
      </c>
      <c r="G90" s="23"/>
      <c r="H90" s="23" t="n">
        <v>5</v>
      </c>
      <c r="I90" s="23" t="n">
        <v>12</v>
      </c>
      <c r="J90" s="23" t="n">
        <v>5</v>
      </c>
      <c r="K90" s="23" t="n">
        <v>7</v>
      </c>
      <c r="L90" s="23" t="n">
        <v>1</v>
      </c>
      <c r="M90" s="23" t="n">
        <v>5</v>
      </c>
      <c r="N90" s="23" t="n">
        <f aca="false">IF(F90="Delivered",SUM(H90:M90),"")</f>
        <v>35</v>
      </c>
      <c r="O90" s="23" t="n">
        <v>4</v>
      </c>
      <c r="P90" s="23" t="s">
        <v>85</v>
      </c>
      <c r="Q90" s="23" t="str">
        <f aca="false">IF(F90="Delivered",IF(N90&gt;Assumptions!$B$4,"Yes","No"),"")</f>
        <v>No</v>
      </c>
    </row>
    <row r="91" customFormat="false" ht="15" hidden="false" customHeight="false" outlineLevel="0" collapsed="false">
      <c r="A91" s="23" t="s">
        <v>174</v>
      </c>
      <c r="B91" s="24" t="n">
        <v>46283</v>
      </c>
      <c r="C91" s="23" t="n">
        <v>18</v>
      </c>
      <c r="D91" s="23" t="str">
        <f aca="false">IF(OR(AND(C91&gt;=Assumptions!$B$5,C91&lt;=Assumptions!$B$6),AND(C91&gt;=Assumptions!$B$7,C91&lt;=Assumptions!$B$8)),"Peak","Off-peak")</f>
        <v>Off-peak</v>
      </c>
      <c r="E91" s="23" t="s">
        <v>59</v>
      </c>
      <c r="F91" s="23" t="s">
        <v>82</v>
      </c>
      <c r="G91" s="23"/>
      <c r="H91" s="23" t="n">
        <v>5</v>
      </c>
      <c r="I91" s="23" t="n">
        <v>8</v>
      </c>
      <c r="J91" s="23" t="n">
        <v>4</v>
      </c>
      <c r="K91" s="23" t="n">
        <v>5</v>
      </c>
      <c r="L91" s="23" t="n">
        <v>2</v>
      </c>
      <c r="M91" s="23" t="n">
        <v>11</v>
      </c>
      <c r="N91" s="23" t="n">
        <f aca="false">IF(F91="Delivered",SUM(H91:M91),"")</f>
        <v>35</v>
      </c>
      <c r="O91" s="23" t="n">
        <v>4</v>
      </c>
      <c r="P91" s="23" t="s">
        <v>85</v>
      </c>
      <c r="Q91" s="23" t="str">
        <f aca="false">IF(F91="Delivered",IF(N91&gt;Assumptions!$B$4,"Yes","No"),"")</f>
        <v>No</v>
      </c>
    </row>
    <row r="92" customFormat="false" ht="15" hidden="false" customHeight="false" outlineLevel="0" collapsed="false">
      <c r="A92" s="23" t="s">
        <v>175</v>
      </c>
      <c r="B92" s="24" t="n">
        <v>46283</v>
      </c>
      <c r="C92" s="23" t="n">
        <v>19</v>
      </c>
      <c r="D92" s="23" t="str">
        <f aca="false">IF(OR(AND(C92&gt;=Assumptions!$B$5,C92&lt;=Assumptions!$B$6),AND(C92&gt;=Assumptions!$B$7,C92&lt;=Assumptions!$B$8)),"Peak","Off-peak")</f>
        <v>Peak</v>
      </c>
      <c r="E92" s="23" t="s">
        <v>57</v>
      </c>
      <c r="F92" s="23" t="s">
        <v>82</v>
      </c>
      <c r="G92" s="23"/>
      <c r="H92" s="23" t="n">
        <v>2</v>
      </c>
      <c r="I92" s="23" t="n">
        <v>7</v>
      </c>
      <c r="J92" s="23" t="n">
        <v>5</v>
      </c>
      <c r="K92" s="23" t="n">
        <v>9</v>
      </c>
      <c r="L92" s="23" t="n">
        <v>7</v>
      </c>
      <c r="M92" s="23" t="n">
        <v>10</v>
      </c>
      <c r="N92" s="23" t="n">
        <f aca="false">IF(F92="Delivered",SUM(H92:M92),"")</f>
        <v>40</v>
      </c>
      <c r="O92" s="23" t="n">
        <v>5</v>
      </c>
      <c r="P92" s="23" t="s">
        <v>85</v>
      </c>
      <c r="Q92" s="23" t="str">
        <f aca="false">IF(F92="Delivered",IF(N92&gt;Assumptions!$B$4,"Yes","No"),"")</f>
        <v>No</v>
      </c>
    </row>
    <row r="93" customFormat="false" ht="15" hidden="false" customHeight="false" outlineLevel="0" collapsed="false">
      <c r="A93" s="23" t="s">
        <v>176</v>
      </c>
      <c r="B93" s="24" t="n">
        <v>46283</v>
      </c>
      <c r="C93" s="23" t="n">
        <v>19</v>
      </c>
      <c r="D93" s="23" t="str">
        <f aca="false">IF(OR(AND(C93&gt;=Assumptions!$B$5,C93&lt;=Assumptions!$B$6),AND(C93&gt;=Assumptions!$B$7,C93&lt;=Assumptions!$B$8)),"Peak","Off-peak")</f>
        <v>Peak</v>
      </c>
      <c r="E93" s="23" t="s">
        <v>62</v>
      </c>
      <c r="F93" s="23" t="s">
        <v>82</v>
      </c>
      <c r="G93" s="23"/>
      <c r="H93" s="23" t="n">
        <v>5</v>
      </c>
      <c r="I93" s="23" t="n">
        <v>11</v>
      </c>
      <c r="J93" s="23" t="n">
        <v>3</v>
      </c>
      <c r="K93" s="23" t="n">
        <v>5</v>
      </c>
      <c r="L93" s="23" t="n">
        <v>1</v>
      </c>
      <c r="M93" s="23" t="n">
        <v>10</v>
      </c>
      <c r="N93" s="23" t="n">
        <f aca="false">IF(F93="Delivered",SUM(H93:M93),"")</f>
        <v>35</v>
      </c>
      <c r="O93" s="23" t="n">
        <v>3</v>
      </c>
      <c r="P93" s="23" t="s">
        <v>83</v>
      </c>
      <c r="Q93" s="23" t="str">
        <f aca="false">IF(F93="Delivered",IF(N93&gt;Assumptions!$B$4,"Yes","No"),"")</f>
        <v>No</v>
      </c>
    </row>
    <row r="94" customFormat="false" ht="15" hidden="false" customHeight="false" outlineLevel="0" collapsed="false">
      <c r="A94" s="23" t="s">
        <v>177</v>
      </c>
      <c r="B94" s="24" t="n">
        <v>46283</v>
      </c>
      <c r="C94" s="23" t="n">
        <v>19</v>
      </c>
      <c r="D94" s="23" t="str">
        <f aca="false">IF(OR(AND(C94&gt;=Assumptions!$B$5,C94&lt;=Assumptions!$B$6),AND(C94&gt;=Assumptions!$B$7,C94&lt;=Assumptions!$B$8)),"Peak","Off-peak")</f>
        <v>Peak</v>
      </c>
      <c r="E94" s="23" t="s">
        <v>60</v>
      </c>
      <c r="F94" s="23" t="s">
        <v>82</v>
      </c>
      <c r="G94" s="23"/>
      <c r="H94" s="23" t="n">
        <v>1</v>
      </c>
      <c r="I94" s="23" t="n">
        <v>9</v>
      </c>
      <c r="J94" s="23" t="n">
        <v>5</v>
      </c>
      <c r="K94" s="23" t="n">
        <v>3</v>
      </c>
      <c r="L94" s="23" t="n">
        <v>6</v>
      </c>
      <c r="M94" s="23" t="n">
        <v>10</v>
      </c>
      <c r="N94" s="23" t="n">
        <f aca="false">IF(F94="Delivered",SUM(H94:M94),"")</f>
        <v>34</v>
      </c>
      <c r="O94" s="23" t="n">
        <v>5</v>
      </c>
      <c r="P94" s="23" t="s">
        <v>85</v>
      </c>
      <c r="Q94" s="23" t="str">
        <f aca="false">IF(F94="Delivered",IF(N94&gt;Assumptions!$B$4,"Yes","No"),"")</f>
        <v>No</v>
      </c>
    </row>
    <row r="95" customFormat="false" ht="15" hidden="false" customHeight="false" outlineLevel="0" collapsed="false">
      <c r="A95" s="23" t="s">
        <v>178</v>
      </c>
      <c r="B95" s="24" t="n">
        <v>46283</v>
      </c>
      <c r="C95" s="23" t="n">
        <v>19</v>
      </c>
      <c r="D95" s="23" t="str">
        <f aca="false">IF(OR(AND(C95&gt;=Assumptions!$B$5,C95&lt;=Assumptions!$B$6),AND(C95&gt;=Assumptions!$B$7,C95&lt;=Assumptions!$B$8)),"Peak","Off-peak")</f>
        <v>Peak</v>
      </c>
      <c r="E95" s="23" t="s">
        <v>60</v>
      </c>
      <c r="F95" s="23" t="s">
        <v>82</v>
      </c>
      <c r="G95" s="23"/>
      <c r="H95" s="23" t="n">
        <v>2</v>
      </c>
      <c r="I95" s="23" t="n">
        <v>25</v>
      </c>
      <c r="J95" s="23" t="n">
        <v>6</v>
      </c>
      <c r="K95" s="23" t="n">
        <v>15</v>
      </c>
      <c r="L95" s="23" t="n">
        <v>8</v>
      </c>
      <c r="M95" s="23" t="n">
        <v>5</v>
      </c>
      <c r="N95" s="23" t="n">
        <f aca="false">IF(F95="Delivered",SUM(H95:M95),"")</f>
        <v>61</v>
      </c>
      <c r="O95" s="23" t="n">
        <v>3</v>
      </c>
      <c r="P95" s="23" t="s">
        <v>85</v>
      </c>
      <c r="Q95" s="23" t="str">
        <f aca="false">IF(F95="Delivered",IF(N95&gt;Assumptions!$B$4,"Yes","No"),"")</f>
        <v>Yes</v>
      </c>
    </row>
    <row r="96" customFormat="false" ht="15" hidden="false" customHeight="false" outlineLevel="0" collapsed="false">
      <c r="A96" s="23" t="s">
        <v>179</v>
      </c>
      <c r="B96" s="24" t="n">
        <v>46283</v>
      </c>
      <c r="C96" s="23" t="n">
        <v>19</v>
      </c>
      <c r="D96" s="23" t="str">
        <f aca="false">IF(OR(AND(C96&gt;=Assumptions!$B$5,C96&lt;=Assumptions!$B$6),AND(C96&gt;=Assumptions!$B$7,C96&lt;=Assumptions!$B$8)),"Peak","Off-peak")</f>
        <v>Peak</v>
      </c>
      <c r="E96" s="23" t="s">
        <v>57</v>
      </c>
      <c r="F96" s="23" t="s">
        <v>82</v>
      </c>
      <c r="G96" s="23"/>
      <c r="H96" s="23" t="n">
        <v>3</v>
      </c>
      <c r="I96" s="23" t="n">
        <v>16</v>
      </c>
      <c r="J96" s="23" t="n">
        <v>6</v>
      </c>
      <c r="K96" s="23" t="n">
        <v>6</v>
      </c>
      <c r="L96" s="23" t="n">
        <v>4</v>
      </c>
      <c r="M96" s="23" t="n">
        <v>16</v>
      </c>
      <c r="N96" s="23" t="n">
        <f aca="false">IF(F96="Delivered",SUM(H96:M96),"")</f>
        <v>51</v>
      </c>
      <c r="O96" s="23" t="n">
        <v>4</v>
      </c>
      <c r="P96" s="23" t="s">
        <v>85</v>
      </c>
      <c r="Q96" s="23" t="str">
        <f aca="false">IF(F96="Delivered",IF(N96&gt;Assumptions!$B$4,"Yes","No"),"")</f>
        <v>Yes</v>
      </c>
    </row>
    <row r="97" customFormat="false" ht="15" hidden="false" customHeight="false" outlineLevel="0" collapsed="false">
      <c r="A97" s="23" t="s">
        <v>180</v>
      </c>
      <c r="B97" s="24" t="n">
        <v>46283</v>
      </c>
      <c r="C97" s="23" t="n">
        <v>20</v>
      </c>
      <c r="D97" s="23" t="str">
        <f aca="false">IF(OR(AND(C97&gt;=Assumptions!$B$5,C97&lt;=Assumptions!$B$6),AND(C97&gt;=Assumptions!$B$7,C97&lt;=Assumptions!$B$8)),"Peak","Off-peak")</f>
        <v>Peak</v>
      </c>
      <c r="E97" s="23" t="s">
        <v>64</v>
      </c>
      <c r="F97" s="23" t="s">
        <v>54</v>
      </c>
      <c r="G97" s="23" t="s">
        <v>45</v>
      </c>
      <c r="N97" s="23" t="str">
        <f aca="false">IF(F97="Delivered",SUM(H97:M97),"")</f>
        <v/>
      </c>
      <c r="Q97" s="23" t="str">
        <f aca="false">IF(F97="Delivered",IF(N97&gt;Assumptions!$B$4,"Yes","No"),"")</f>
        <v/>
      </c>
    </row>
    <row r="98" customFormat="false" ht="15" hidden="false" customHeight="false" outlineLevel="0" collapsed="false">
      <c r="A98" s="23" t="s">
        <v>181</v>
      </c>
      <c r="B98" s="24" t="n">
        <v>46283</v>
      </c>
      <c r="C98" s="23" t="n">
        <v>20</v>
      </c>
      <c r="D98" s="23" t="str">
        <f aca="false">IF(OR(AND(C98&gt;=Assumptions!$B$5,C98&lt;=Assumptions!$B$6),AND(C98&gt;=Assumptions!$B$7,C98&lt;=Assumptions!$B$8)),"Peak","Off-peak")</f>
        <v>Peak</v>
      </c>
      <c r="E98" s="23" t="s">
        <v>60</v>
      </c>
      <c r="F98" s="23" t="s">
        <v>82</v>
      </c>
      <c r="G98" s="23"/>
      <c r="H98" s="23" t="n">
        <v>2</v>
      </c>
      <c r="I98" s="23" t="n">
        <v>14</v>
      </c>
      <c r="J98" s="23" t="n">
        <v>3</v>
      </c>
      <c r="K98" s="23" t="n">
        <v>12</v>
      </c>
      <c r="L98" s="23" t="n">
        <v>3</v>
      </c>
      <c r="M98" s="23" t="n">
        <v>8</v>
      </c>
      <c r="N98" s="23" t="n">
        <f aca="false">IF(F98="Delivered",SUM(H98:M98),"")</f>
        <v>42</v>
      </c>
      <c r="O98" s="23" t="n">
        <v>3</v>
      </c>
      <c r="P98" s="23" t="s">
        <v>85</v>
      </c>
      <c r="Q98" s="23" t="str">
        <f aca="false">IF(F98="Delivered",IF(N98&gt;Assumptions!$B$4,"Yes","No"),"")</f>
        <v>No</v>
      </c>
    </row>
    <row r="99" customFormat="false" ht="15" hidden="false" customHeight="false" outlineLevel="0" collapsed="false">
      <c r="A99" s="23" t="s">
        <v>182</v>
      </c>
      <c r="B99" s="24" t="n">
        <v>46283</v>
      </c>
      <c r="C99" s="23" t="n">
        <v>20</v>
      </c>
      <c r="D99" s="23" t="str">
        <f aca="false">IF(OR(AND(C99&gt;=Assumptions!$B$5,C99&lt;=Assumptions!$B$6),AND(C99&gt;=Assumptions!$B$7,C99&lt;=Assumptions!$B$8)),"Peak","Off-peak")</f>
        <v>Peak</v>
      </c>
      <c r="E99" s="23" t="s">
        <v>57</v>
      </c>
      <c r="F99" s="23" t="s">
        <v>82</v>
      </c>
      <c r="G99" s="23"/>
      <c r="H99" s="23" t="n">
        <v>5</v>
      </c>
      <c r="I99" s="23" t="n">
        <v>18</v>
      </c>
      <c r="J99" s="23" t="n">
        <v>8</v>
      </c>
      <c r="K99" s="23" t="n">
        <v>3</v>
      </c>
      <c r="L99" s="23" t="n">
        <v>6</v>
      </c>
      <c r="M99" s="23" t="n">
        <v>5</v>
      </c>
      <c r="N99" s="23" t="n">
        <f aca="false">IF(F99="Delivered",SUM(H99:M99),"")</f>
        <v>45</v>
      </c>
      <c r="O99" s="23" t="n">
        <v>4</v>
      </c>
      <c r="P99" s="23" t="s">
        <v>85</v>
      </c>
      <c r="Q99" s="23" t="str">
        <f aca="false">IF(F99="Delivered",IF(N99&gt;Assumptions!$B$4,"Yes","No"),"")</f>
        <v>No</v>
      </c>
    </row>
    <row r="100" customFormat="false" ht="15" hidden="false" customHeight="false" outlineLevel="0" collapsed="false">
      <c r="A100" s="23" t="s">
        <v>183</v>
      </c>
      <c r="B100" s="24" t="n">
        <v>46283</v>
      </c>
      <c r="C100" s="23" t="n">
        <v>20</v>
      </c>
      <c r="D100" s="23" t="str">
        <f aca="false">IF(OR(AND(C100&gt;=Assumptions!$B$5,C100&lt;=Assumptions!$B$6),AND(C100&gt;=Assumptions!$B$7,C100&lt;=Assumptions!$B$8)),"Peak","Off-peak")</f>
        <v>Peak</v>
      </c>
      <c r="E100" s="23" t="s">
        <v>60</v>
      </c>
      <c r="F100" s="23" t="s">
        <v>82</v>
      </c>
      <c r="G100" s="23"/>
      <c r="H100" s="23" t="n">
        <v>5</v>
      </c>
      <c r="I100" s="23" t="n">
        <v>19</v>
      </c>
      <c r="J100" s="23" t="n">
        <v>8</v>
      </c>
      <c r="K100" s="23" t="n">
        <v>7</v>
      </c>
      <c r="L100" s="23" t="n">
        <v>7</v>
      </c>
      <c r="M100" s="23" t="n">
        <v>11</v>
      </c>
      <c r="N100" s="23" t="n">
        <f aca="false">IF(F100="Delivered",SUM(H100:M100),"")</f>
        <v>57</v>
      </c>
      <c r="O100" s="23" t="n">
        <v>3</v>
      </c>
      <c r="P100" s="23" t="s">
        <v>85</v>
      </c>
      <c r="Q100" s="23" t="str">
        <f aca="false">IF(F100="Delivered",IF(N100&gt;Assumptions!$B$4,"Yes","No"),"")</f>
        <v>Yes</v>
      </c>
    </row>
    <row r="101" customFormat="false" ht="15" hidden="false" customHeight="false" outlineLevel="0" collapsed="false">
      <c r="A101" s="23" t="s">
        <v>184</v>
      </c>
      <c r="B101" s="24" t="n">
        <v>46283</v>
      </c>
      <c r="C101" s="23" t="n">
        <v>22</v>
      </c>
      <c r="D101" s="23" t="str">
        <f aca="false">IF(OR(AND(C101&gt;=Assumptions!$B$5,C101&lt;=Assumptions!$B$6),AND(C101&gt;=Assumptions!$B$7,C101&lt;=Assumptions!$B$8)),"Peak","Off-peak")</f>
        <v>Off-peak</v>
      </c>
      <c r="E101" s="23" t="s">
        <v>61</v>
      </c>
      <c r="F101" s="23" t="s">
        <v>82</v>
      </c>
      <c r="G101" s="23"/>
      <c r="H101" s="23" t="n">
        <v>1</v>
      </c>
      <c r="I101" s="23" t="n">
        <v>19</v>
      </c>
      <c r="J101" s="23" t="n">
        <v>2</v>
      </c>
      <c r="K101" s="23" t="n">
        <v>5</v>
      </c>
      <c r="L101" s="23" t="n">
        <v>2</v>
      </c>
      <c r="M101" s="23" t="n">
        <v>7</v>
      </c>
      <c r="N101" s="23" t="n">
        <f aca="false">IF(F101="Delivered",SUM(H101:M101),"")</f>
        <v>36</v>
      </c>
      <c r="O101" s="23" t="n">
        <v>5</v>
      </c>
      <c r="P101" s="23" t="s">
        <v>85</v>
      </c>
      <c r="Q101" s="23" t="str">
        <f aca="false">IF(F101="Delivered",IF(N101&gt;Assumptions!$B$4,"Yes","No"),"")</f>
        <v>No</v>
      </c>
    </row>
    <row r="102" customFormat="false" ht="15" hidden="false" customHeight="false" outlineLevel="0" collapsed="false">
      <c r="A102" s="23" t="s">
        <v>185</v>
      </c>
      <c r="B102" s="24" t="n">
        <v>46283</v>
      </c>
      <c r="C102" s="23" t="n">
        <v>22</v>
      </c>
      <c r="D102" s="23" t="str">
        <f aca="false">IF(OR(AND(C102&gt;=Assumptions!$B$5,C102&lt;=Assumptions!$B$6),AND(C102&gt;=Assumptions!$B$7,C102&lt;=Assumptions!$B$8)),"Peak","Off-peak")</f>
        <v>Off-peak</v>
      </c>
      <c r="E102" s="23" t="s">
        <v>62</v>
      </c>
      <c r="F102" s="23" t="s">
        <v>54</v>
      </c>
      <c r="G102" s="23" t="s">
        <v>47</v>
      </c>
      <c r="N102" s="23" t="str">
        <f aca="false">IF(F102="Delivered",SUM(H102:M102),"")</f>
        <v/>
      </c>
      <c r="Q102" s="23" t="str">
        <f aca="false">IF(F102="Delivered",IF(N102&gt;Assumptions!$B$4,"Yes","No"),"")</f>
        <v/>
      </c>
    </row>
    <row r="103" customFormat="false" ht="15" hidden="false" customHeight="false" outlineLevel="0" collapsed="false">
      <c r="A103" s="23" t="s">
        <v>186</v>
      </c>
      <c r="B103" s="24" t="n">
        <v>46284</v>
      </c>
      <c r="C103" s="23" t="n">
        <v>11</v>
      </c>
      <c r="D103" s="23" t="str">
        <f aca="false">IF(OR(AND(C103&gt;=Assumptions!$B$5,C103&lt;=Assumptions!$B$6),AND(C103&gt;=Assumptions!$B$7,C103&lt;=Assumptions!$B$8)),"Peak","Off-peak")</f>
        <v>Off-peak</v>
      </c>
      <c r="E103" s="23" t="s">
        <v>58</v>
      </c>
      <c r="F103" s="23" t="s">
        <v>82</v>
      </c>
      <c r="G103" s="23"/>
      <c r="H103" s="23" t="n">
        <v>1</v>
      </c>
      <c r="I103" s="23" t="n">
        <v>10</v>
      </c>
      <c r="J103" s="23" t="n">
        <v>2</v>
      </c>
      <c r="K103" s="23" t="n">
        <v>8</v>
      </c>
      <c r="L103" s="23" t="n">
        <v>1</v>
      </c>
      <c r="M103" s="23" t="n">
        <v>10</v>
      </c>
      <c r="N103" s="23" t="n">
        <f aca="false">IF(F103="Delivered",SUM(H103:M103),"")</f>
        <v>32</v>
      </c>
      <c r="O103" s="23" t="n">
        <v>5</v>
      </c>
      <c r="P103" s="23" t="s">
        <v>85</v>
      </c>
      <c r="Q103" s="23" t="str">
        <f aca="false">IF(F103="Delivered",IF(N103&gt;Assumptions!$B$4,"Yes","No"),"")</f>
        <v>No</v>
      </c>
    </row>
    <row r="104" customFormat="false" ht="15" hidden="false" customHeight="false" outlineLevel="0" collapsed="false">
      <c r="A104" s="23" t="s">
        <v>187</v>
      </c>
      <c r="B104" s="24" t="n">
        <v>46284</v>
      </c>
      <c r="C104" s="23" t="n">
        <v>11</v>
      </c>
      <c r="D104" s="23" t="str">
        <f aca="false">IF(OR(AND(C104&gt;=Assumptions!$B$5,C104&lt;=Assumptions!$B$6),AND(C104&gt;=Assumptions!$B$7,C104&lt;=Assumptions!$B$8)),"Peak","Off-peak")</f>
        <v>Off-peak</v>
      </c>
      <c r="E104" s="23" t="s">
        <v>59</v>
      </c>
      <c r="F104" s="23" t="s">
        <v>82</v>
      </c>
      <c r="G104" s="23"/>
      <c r="H104" s="23" t="n">
        <v>1</v>
      </c>
      <c r="I104" s="23" t="n">
        <v>31</v>
      </c>
      <c r="J104" s="23" t="n">
        <v>4</v>
      </c>
      <c r="K104" s="23" t="n">
        <v>6</v>
      </c>
      <c r="L104" s="23" t="n">
        <v>2</v>
      </c>
      <c r="M104" s="23" t="n">
        <v>6</v>
      </c>
      <c r="N104" s="23" t="n">
        <f aca="false">IF(F104="Delivered",SUM(H104:M104),"")</f>
        <v>50</v>
      </c>
      <c r="O104" s="23" t="n">
        <v>4</v>
      </c>
      <c r="P104" s="23" t="s">
        <v>85</v>
      </c>
      <c r="Q104" s="23" t="str">
        <f aca="false">IF(F104="Delivered",IF(N104&gt;Assumptions!$B$4,"Yes","No"),"")</f>
        <v>Yes</v>
      </c>
    </row>
    <row r="105" customFormat="false" ht="15" hidden="false" customHeight="false" outlineLevel="0" collapsed="false">
      <c r="A105" s="23" t="s">
        <v>188</v>
      </c>
      <c r="B105" s="24" t="n">
        <v>46284</v>
      </c>
      <c r="C105" s="23" t="n">
        <v>12</v>
      </c>
      <c r="D105" s="23" t="str">
        <f aca="false">IF(OR(AND(C105&gt;=Assumptions!$B$5,C105&lt;=Assumptions!$B$6),AND(C105&gt;=Assumptions!$B$7,C105&lt;=Assumptions!$B$8)),"Peak","Off-peak")</f>
        <v>Peak</v>
      </c>
      <c r="E105" s="23" t="s">
        <v>57</v>
      </c>
      <c r="F105" s="23" t="s">
        <v>82</v>
      </c>
      <c r="G105" s="23"/>
      <c r="H105" s="23" t="n">
        <v>5</v>
      </c>
      <c r="I105" s="23" t="n">
        <v>13</v>
      </c>
      <c r="J105" s="23" t="n">
        <v>9</v>
      </c>
      <c r="K105" s="23" t="n">
        <v>7</v>
      </c>
      <c r="L105" s="23" t="n">
        <v>4</v>
      </c>
      <c r="M105" s="23" t="n">
        <v>17</v>
      </c>
      <c r="N105" s="23" t="n">
        <f aca="false">IF(F105="Delivered",SUM(H105:M105),"")</f>
        <v>55</v>
      </c>
      <c r="O105" s="23" t="n">
        <v>3</v>
      </c>
      <c r="P105" s="23" t="s">
        <v>85</v>
      </c>
      <c r="Q105" s="23" t="str">
        <f aca="false">IF(F105="Delivered",IF(N105&gt;Assumptions!$B$4,"Yes","No"),"")</f>
        <v>Yes</v>
      </c>
    </row>
    <row r="106" customFormat="false" ht="15" hidden="false" customHeight="false" outlineLevel="0" collapsed="false">
      <c r="A106" s="23" t="s">
        <v>189</v>
      </c>
      <c r="B106" s="24" t="n">
        <v>46284</v>
      </c>
      <c r="C106" s="23" t="n">
        <v>12</v>
      </c>
      <c r="D106" s="23" t="str">
        <f aca="false">IF(OR(AND(C106&gt;=Assumptions!$B$5,C106&lt;=Assumptions!$B$6),AND(C106&gt;=Assumptions!$B$7,C106&lt;=Assumptions!$B$8)),"Peak","Off-peak")</f>
        <v>Peak</v>
      </c>
      <c r="E106" s="23" t="s">
        <v>60</v>
      </c>
      <c r="F106" s="23" t="s">
        <v>82</v>
      </c>
      <c r="G106" s="23"/>
      <c r="H106" s="23" t="n">
        <v>4</v>
      </c>
      <c r="I106" s="23" t="n">
        <v>9</v>
      </c>
      <c r="J106" s="23" t="n">
        <v>14</v>
      </c>
      <c r="K106" s="23" t="n">
        <v>8</v>
      </c>
      <c r="L106" s="23" t="n">
        <v>8</v>
      </c>
      <c r="M106" s="23" t="n">
        <v>6</v>
      </c>
      <c r="N106" s="23" t="n">
        <f aca="false">IF(F106="Delivered",SUM(H106:M106),"")</f>
        <v>49</v>
      </c>
      <c r="O106" s="23" t="n">
        <v>2</v>
      </c>
      <c r="P106" s="23" t="s">
        <v>83</v>
      </c>
      <c r="Q106" s="23" t="str">
        <f aca="false">IF(F106="Delivered",IF(N106&gt;Assumptions!$B$4,"Yes","No"),"")</f>
        <v>Yes</v>
      </c>
    </row>
    <row r="107" customFormat="false" ht="15" hidden="false" customHeight="false" outlineLevel="0" collapsed="false">
      <c r="A107" s="23" t="s">
        <v>190</v>
      </c>
      <c r="B107" s="24" t="n">
        <v>46284</v>
      </c>
      <c r="C107" s="23" t="n">
        <v>12</v>
      </c>
      <c r="D107" s="23" t="str">
        <f aca="false">IF(OR(AND(C107&gt;=Assumptions!$B$5,C107&lt;=Assumptions!$B$6),AND(C107&gt;=Assumptions!$B$7,C107&lt;=Assumptions!$B$8)),"Peak","Off-peak")</f>
        <v>Peak</v>
      </c>
      <c r="E107" s="23" t="s">
        <v>63</v>
      </c>
      <c r="F107" s="23" t="s">
        <v>54</v>
      </c>
      <c r="G107" s="23" t="s">
        <v>45</v>
      </c>
      <c r="N107" s="23" t="str">
        <f aca="false">IF(F107="Delivered",SUM(H107:M107),"")</f>
        <v/>
      </c>
      <c r="Q107" s="23" t="str">
        <f aca="false">IF(F107="Delivered",IF(N107&gt;Assumptions!$B$4,"Yes","No"),"")</f>
        <v/>
      </c>
    </row>
    <row r="108" customFormat="false" ht="15" hidden="false" customHeight="false" outlineLevel="0" collapsed="false">
      <c r="A108" s="23" t="s">
        <v>191</v>
      </c>
      <c r="B108" s="24" t="n">
        <v>46284</v>
      </c>
      <c r="C108" s="23" t="n">
        <v>13</v>
      </c>
      <c r="D108" s="23" t="str">
        <f aca="false">IF(OR(AND(C108&gt;=Assumptions!$B$5,C108&lt;=Assumptions!$B$6),AND(C108&gt;=Assumptions!$B$7,C108&lt;=Assumptions!$B$8)),"Peak","Off-peak")</f>
        <v>Peak</v>
      </c>
      <c r="E108" s="23" t="s">
        <v>59</v>
      </c>
      <c r="F108" s="23" t="s">
        <v>54</v>
      </c>
      <c r="G108" s="23" t="s">
        <v>46</v>
      </c>
      <c r="N108" s="23" t="str">
        <f aca="false">IF(F108="Delivered",SUM(H108:M108),"")</f>
        <v/>
      </c>
      <c r="Q108" s="23" t="str">
        <f aca="false">IF(F108="Delivered",IF(N108&gt;Assumptions!$B$4,"Yes","No"),"")</f>
        <v/>
      </c>
    </row>
    <row r="109" customFormat="false" ht="15" hidden="false" customHeight="false" outlineLevel="0" collapsed="false">
      <c r="A109" s="23" t="s">
        <v>192</v>
      </c>
      <c r="B109" s="24" t="n">
        <v>46284</v>
      </c>
      <c r="C109" s="23" t="n">
        <v>14</v>
      </c>
      <c r="D109" s="23" t="str">
        <f aca="false">IF(OR(AND(C109&gt;=Assumptions!$B$5,C109&lt;=Assumptions!$B$6),AND(C109&gt;=Assumptions!$B$7,C109&lt;=Assumptions!$B$8)),"Peak","Off-peak")</f>
        <v>Off-peak</v>
      </c>
      <c r="E109" s="23" t="s">
        <v>61</v>
      </c>
      <c r="F109" s="23" t="s">
        <v>54</v>
      </c>
      <c r="G109" s="23" t="s">
        <v>47</v>
      </c>
      <c r="N109" s="23" t="str">
        <f aca="false">IF(F109="Delivered",SUM(H109:M109),"")</f>
        <v/>
      </c>
      <c r="Q109" s="23" t="str">
        <f aca="false">IF(F109="Delivered",IF(N109&gt;Assumptions!$B$4,"Yes","No"),"")</f>
        <v/>
      </c>
    </row>
    <row r="110" customFormat="false" ht="15" hidden="false" customHeight="false" outlineLevel="0" collapsed="false">
      <c r="A110" s="23" t="s">
        <v>193</v>
      </c>
      <c r="B110" s="24" t="n">
        <v>46284</v>
      </c>
      <c r="C110" s="23" t="n">
        <v>14</v>
      </c>
      <c r="D110" s="23" t="str">
        <f aca="false">IF(OR(AND(C110&gt;=Assumptions!$B$5,C110&lt;=Assumptions!$B$6),AND(C110&gt;=Assumptions!$B$7,C110&lt;=Assumptions!$B$8)),"Peak","Off-peak")</f>
        <v>Off-peak</v>
      </c>
      <c r="E110" s="23" t="s">
        <v>59</v>
      </c>
      <c r="F110" s="23" t="s">
        <v>82</v>
      </c>
      <c r="G110" s="23"/>
      <c r="H110" s="23" t="n">
        <v>1</v>
      </c>
      <c r="I110" s="23" t="n">
        <v>11</v>
      </c>
      <c r="J110" s="23" t="n">
        <v>2</v>
      </c>
      <c r="K110" s="23" t="n">
        <v>5</v>
      </c>
      <c r="L110" s="23" t="n">
        <v>2</v>
      </c>
      <c r="M110" s="23" t="n">
        <v>8</v>
      </c>
      <c r="N110" s="23" t="n">
        <f aca="false">IF(F110="Delivered",SUM(H110:M110),"")</f>
        <v>29</v>
      </c>
      <c r="O110" s="23" t="n">
        <v>5</v>
      </c>
      <c r="P110" s="23" t="s">
        <v>85</v>
      </c>
      <c r="Q110" s="23" t="str">
        <f aca="false">IF(F110="Delivered",IF(N110&gt;Assumptions!$B$4,"Yes","No"),"")</f>
        <v>No</v>
      </c>
    </row>
    <row r="111" customFormat="false" ht="15" hidden="false" customHeight="false" outlineLevel="0" collapsed="false">
      <c r="A111" s="23" t="s">
        <v>194</v>
      </c>
      <c r="B111" s="24" t="n">
        <v>46284</v>
      </c>
      <c r="C111" s="23" t="n">
        <v>14</v>
      </c>
      <c r="D111" s="23" t="str">
        <f aca="false">IF(OR(AND(C111&gt;=Assumptions!$B$5,C111&lt;=Assumptions!$B$6),AND(C111&gt;=Assumptions!$B$7,C111&lt;=Assumptions!$B$8)),"Peak","Off-peak")</f>
        <v>Off-peak</v>
      </c>
      <c r="E111" s="23" t="s">
        <v>58</v>
      </c>
      <c r="F111" s="23" t="s">
        <v>82</v>
      </c>
      <c r="G111" s="23"/>
      <c r="H111" s="23" t="n">
        <v>3</v>
      </c>
      <c r="I111" s="23" t="n">
        <v>12</v>
      </c>
      <c r="J111" s="23" t="n">
        <v>3</v>
      </c>
      <c r="K111" s="23" t="n">
        <v>4</v>
      </c>
      <c r="L111" s="23" t="n">
        <v>1</v>
      </c>
      <c r="M111" s="23" t="n">
        <v>3</v>
      </c>
      <c r="N111" s="23" t="n">
        <f aca="false">IF(F111="Delivered",SUM(H111:M111),"")</f>
        <v>26</v>
      </c>
      <c r="O111" s="23" t="n">
        <v>5</v>
      </c>
      <c r="P111" s="23" t="s">
        <v>85</v>
      </c>
      <c r="Q111" s="23" t="str">
        <f aca="false">IF(F111="Delivered",IF(N111&gt;Assumptions!$B$4,"Yes","No"),"")</f>
        <v>No</v>
      </c>
    </row>
    <row r="112" customFormat="false" ht="15" hidden="false" customHeight="false" outlineLevel="0" collapsed="false">
      <c r="A112" s="23" t="s">
        <v>195</v>
      </c>
      <c r="B112" s="24" t="n">
        <v>46284</v>
      </c>
      <c r="C112" s="23" t="n">
        <v>14</v>
      </c>
      <c r="D112" s="23" t="str">
        <f aca="false">IF(OR(AND(C112&gt;=Assumptions!$B$5,C112&lt;=Assumptions!$B$6),AND(C112&gt;=Assumptions!$B$7,C112&lt;=Assumptions!$B$8)),"Peak","Off-peak")</f>
        <v>Off-peak</v>
      </c>
      <c r="E112" s="23" t="s">
        <v>63</v>
      </c>
      <c r="F112" s="23" t="s">
        <v>82</v>
      </c>
      <c r="G112" s="23"/>
      <c r="H112" s="23" t="n">
        <v>2</v>
      </c>
      <c r="I112" s="23" t="n">
        <v>9</v>
      </c>
      <c r="J112" s="23" t="n">
        <v>6</v>
      </c>
      <c r="K112" s="23" t="n">
        <v>9</v>
      </c>
      <c r="L112" s="23" t="n">
        <v>2</v>
      </c>
      <c r="M112" s="23" t="n">
        <v>10</v>
      </c>
      <c r="N112" s="23" t="n">
        <f aca="false">IF(F112="Delivered",SUM(H112:M112),"")</f>
        <v>38</v>
      </c>
      <c r="O112" s="23" t="n">
        <v>4</v>
      </c>
      <c r="P112" s="23" t="s">
        <v>85</v>
      </c>
      <c r="Q112" s="23" t="str">
        <f aca="false">IF(F112="Delivered",IF(N112&gt;Assumptions!$B$4,"Yes","No"),"")</f>
        <v>No</v>
      </c>
    </row>
    <row r="113" customFormat="false" ht="15" hidden="false" customHeight="false" outlineLevel="0" collapsed="false">
      <c r="A113" s="23" t="s">
        <v>196</v>
      </c>
      <c r="B113" s="24" t="n">
        <v>46284</v>
      </c>
      <c r="C113" s="23" t="n">
        <v>14</v>
      </c>
      <c r="D113" s="23" t="str">
        <f aca="false">IF(OR(AND(C113&gt;=Assumptions!$B$5,C113&lt;=Assumptions!$B$6),AND(C113&gt;=Assumptions!$B$7,C113&lt;=Assumptions!$B$8)),"Peak","Off-peak")</f>
        <v>Off-peak</v>
      </c>
      <c r="E113" s="23" t="s">
        <v>61</v>
      </c>
      <c r="F113" s="23" t="s">
        <v>82</v>
      </c>
      <c r="G113" s="23"/>
      <c r="H113" s="23" t="n">
        <v>1</v>
      </c>
      <c r="I113" s="23" t="n">
        <v>12</v>
      </c>
      <c r="J113" s="23" t="n">
        <v>2</v>
      </c>
      <c r="K113" s="23" t="n">
        <v>5</v>
      </c>
      <c r="L113" s="23" t="n">
        <v>2</v>
      </c>
      <c r="M113" s="23" t="n">
        <v>6</v>
      </c>
      <c r="N113" s="23" t="n">
        <f aca="false">IF(F113="Delivered",SUM(H113:M113),"")</f>
        <v>28</v>
      </c>
      <c r="O113" s="23" t="n">
        <v>5</v>
      </c>
      <c r="P113" s="23" t="s">
        <v>85</v>
      </c>
      <c r="Q113" s="23" t="str">
        <f aca="false">IF(F113="Delivered",IF(N113&gt;Assumptions!$B$4,"Yes","No"),"")</f>
        <v>No</v>
      </c>
    </row>
    <row r="114" customFormat="false" ht="15" hidden="false" customHeight="false" outlineLevel="0" collapsed="false">
      <c r="A114" s="23" t="s">
        <v>197</v>
      </c>
      <c r="B114" s="24" t="n">
        <v>46284</v>
      </c>
      <c r="C114" s="23" t="n">
        <v>15</v>
      </c>
      <c r="D114" s="23" t="str">
        <f aca="false">IF(OR(AND(C114&gt;=Assumptions!$B$5,C114&lt;=Assumptions!$B$6),AND(C114&gt;=Assumptions!$B$7,C114&lt;=Assumptions!$B$8)),"Peak","Off-peak")</f>
        <v>Off-peak</v>
      </c>
      <c r="E114" s="23" t="s">
        <v>62</v>
      </c>
      <c r="F114" s="23" t="s">
        <v>82</v>
      </c>
      <c r="G114" s="23"/>
      <c r="H114" s="23" t="n">
        <v>2</v>
      </c>
      <c r="I114" s="23" t="n">
        <v>9</v>
      </c>
      <c r="J114" s="23" t="n">
        <v>5</v>
      </c>
      <c r="K114" s="23" t="n">
        <v>7</v>
      </c>
      <c r="L114" s="23" t="n">
        <v>4</v>
      </c>
      <c r="M114" s="23" t="n">
        <v>12</v>
      </c>
      <c r="N114" s="23" t="n">
        <f aca="false">IF(F114="Delivered",SUM(H114:M114),"")</f>
        <v>39</v>
      </c>
      <c r="O114" s="23" t="n">
        <v>3</v>
      </c>
      <c r="P114" s="23" t="s">
        <v>85</v>
      </c>
      <c r="Q114" s="23" t="str">
        <f aca="false">IF(F114="Delivered",IF(N114&gt;Assumptions!$B$4,"Yes","No"),"")</f>
        <v>No</v>
      </c>
    </row>
    <row r="115" customFormat="false" ht="15" hidden="false" customHeight="false" outlineLevel="0" collapsed="false">
      <c r="A115" s="23" t="s">
        <v>198</v>
      </c>
      <c r="B115" s="24" t="n">
        <v>46284</v>
      </c>
      <c r="C115" s="23" t="n">
        <v>15</v>
      </c>
      <c r="D115" s="23" t="str">
        <f aca="false">IF(OR(AND(C115&gt;=Assumptions!$B$5,C115&lt;=Assumptions!$B$6),AND(C115&gt;=Assumptions!$B$7,C115&lt;=Assumptions!$B$8)),"Peak","Off-peak")</f>
        <v>Off-peak</v>
      </c>
      <c r="E115" s="23" t="s">
        <v>61</v>
      </c>
      <c r="F115" s="23" t="s">
        <v>82</v>
      </c>
      <c r="G115" s="23"/>
      <c r="H115" s="23" t="n">
        <v>1</v>
      </c>
      <c r="I115" s="23" t="n">
        <v>6</v>
      </c>
      <c r="J115" s="23" t="n">
        <v>2</v>
      </c>
      <c r="K115" s="23" t="n">
        <v>11</v>
      </c>
      <c r="L115" s="23" t="n">
        <v>4</v>
      </c>
      <c r="M115" s="23" t="n">
        <v>7</v>
      </c>
      <c r="N115" s="23" t="n">
        <f aca="false">IF(F115="Delivered",SUM(H115:M115),"")</f>
        <v>31</v>
      </c>
      <c r="O115" s="23" t="n">
        <v>4</v>
      </c>
      <c r="P115" s="23" t="s">
        <v>85</v>
      </c>
      <c r="Q115" s="23" t="str">
        <f aca="false">IF(F115="Delivered",IF(N115&gt;Assumptions!$B$4,"Yes","No"),"")</f>
        <v>No</v>
      </c>
    </row>
    <row r="116" customFormat="false" ht="15" hidden="false" customHeight="false" outlineLevel="0" collapsed="false">
      <c r="A116" s="23" t="s">
        <v>199</v>
      </c>
      <c r="B116" s="24" t="n">
        <v>46284</v>
      </c>
      <c r="C116" s="23" t="n">
        <v>16</v>
      </c>
      <c r="D116" s="23" t="str">
        <f aca="false">IF(OR(AND(C116&gt;=Assumptions!$B$5,C116&lt;=Assumptions!$B$6),AND(C116&gt;=Assumptions!$B$7,C116&lt;=Assumptions!$B$8)),"Peak","Off-peak")</f>
        <v>Off-peak</v>
      </c>
      <c r="E116" s="23" t="s">
        <v>57</v>
      </c>
      <c r="F116" s="23" t="s">
        <v>82</v>
      </c>
      <c r="G116" s="23"/>
      <c r="H116" s="23" t="n">
        <v>2</v>
      </c>
      <c r="I116" s="23" t="n">
        <v>8</v>
      </c>
      <c r="J116" s="23" t="n">
        <v>2</v>
      </c>
      <c r="K116" s="23" t="n">
        <v>4</v>
      </c>
      <c r="L116" s="23" t="n">
        <v>2</v>
      </c>
      <c r="M116" s="23" t="n">
        <v>8</v>
      </c>
      <c r="N116" s="23" t="n">
        <f aca="false">IF(F116="Delivered",SUM(H116:M116),"")</f>
        <v>26</v>
      </c>
      <c r="O116" s="23" t="n">
        <v>5</v>
      </c>
      <c r="P116" s="23" t="s">
        <v>85</v>
      </c>
      <c r="Q116" s="23" t="str">
        <f aca="false">IF(F116="Delivered",IF(N116&gt;Assumptions!$B$4,"Yes","No"),"")</f>
        <v>No</v>
      </c>
    </row>
    <row r="117" customFormat="false" ht="15" hidden="false" customHeight="false" outlineLevel="0" collapsed="false">
      <c r="A117" s="23" t="s">
        <v>200</v>
      </c>
      <c r="B117" s="24" t="n">
        <v>46284</v>
      </c>
      <c r="C117" s="23" t="n">
        <v>17</v>
      </c>
      <c r="D117" s="23" t="str">
        <f aca="false">IF(OR(AND(C117&gt;=Assumptions!$B$5,C117&lt;=Assumptions!$B$6),AND(C117&gt;=Assumptions!$B$7,C117&lt;=Assumptions!$B$8)),"Peak","Off-peak")</f>
        <v>Off-peak</v>
      </c>
      <c r="E117" s="23" t="s">
        <v>59</v>
      </c>
      <c r="F117" s="23" t="s">
        <v>82</v>
      </c>
      <c r="G117" s="23"/>
      <c r="H117" s="23" t="n">
        <v>1</v>
      </c>
      <c r="I117" s="23" t="n">
        <v>15</v>
      </c>
      <c r="J117" s="23" t="n">
        <v>2</v>
      </c>
      <c r="K117" s="23" t="n">
        <v>5</v>
      </c>
      <c r="L117" s="23" t="n">
        <v>2</v>
      </c>
      <c r="M117" s="23" t="n">
        <v>5</v>
      </c>
      <c r="N117" s="23" t="n">
        <f aca="false">IF(F117="Delivered",SUM(H117:M117),"")</f>
        <v>30</v>
      </c>
      <c r="O117" s="23" t="n">
        <v>4</v>
      </c>
      <c r="P117" s="23" t="s">
        <v>85</v>
      </c>
      <c r="Q117" s="23" t="str">
        <f aca="false">IF(F117="Delivered",IF(N117&gt;Assumptions!$B$4,"Yes","No"),"")</f>
        <v>No</v>
      </c>
    </row>
    <row r="118" customFormat="false" ht="15" hidden="false" customHeight="false" outlineLevel="0" collapsed="false">
      <c r="A118" s="23" t="s">
        <v>201</v>
      </c>
      <c r="B118" s="24" t="n">
        <v>46284</v>
      </c>
      <c r="C118" s="23" t="n">
        <v>17</v>
      </c>
      <c r="D118" s="23" t="str">
        <f aca="false">IF(OR(AND(C118&gt;=Assumptions!$B$5,C118&lt;=Assumptions!$B$6),AND(C118&gt;=Assumptions!$B$7,C118&lt;=Assumptions!$B$8)),"Peak","Off-peak")</f>
        <v>Off-peak</v>
      </c>
      <c r="E118" s="23" t="s">
        <v>59</v>
      </c>
      <c r="F118" s="23" t="s">
        <v>82</v>
      </c>
      <c r="G118" s="23"/>
      <c r="H118" s="23" t="n">
        <v>2</v>
      </c>
      <c r="I118" s="23" t="n">
        <v>13</v>
      </c>
      <c r="J118" s="23" t="n">
        <v>6</v>
      </c>
      <c r="K118" s="23" t="n">
        <v>4</v>
      </c>
      <c r="L118" s="23" t="n">
        <v>1</v>
      </c>
      <c r="M118" s="23" t="n">
        <v>6</v>
      </c>
      <c r="N118" s="23" t="n">
        <f aca="false">IF(F118="Delivered",SUM(H118:M118),"")</f>
        <v>32</v>
      </c>
      <c r="O118" s="23" t="n">
        <v>5</v>
      </c>
      <c r="P118" s="23" t="s">
        <v>85</v>
      </c>
      <c r="Q118" s="23" t="str">
        <f aca="false">IF(F118="Delivered",IF(N118&gt;Assumptions!$B$4,"Yes","No"),"")</f>
        <v>No</v>
      </c>
    </row>
    <row r="119" customFormat="false" ht="15" hidden="false" customHeight="false" outlineLevel="0" collapsed="false">
      <c r="A119" s="23" t="s">
        <v>202</v>
      </c>
      <c r="B119" s="24" t="n">
        <v>46284</v>
      </c>
      <c r="C119" s="23" t="n">
        <v>18</v>
      </c>
      <c r="D119" s="23" t="str">
        <f aca="false">IF(OR(AND(C119&gt;=Assumptions!$B$5,C119&lt;=Assumptions!$B$6),AND(C119&gt;=Assumptions!$B$7,C119&lt;=Assumptions!$B$8)),"Peak","Off-peak")</f>
        <v>Off-peak</v>
      </c>
      <c r="E119" s="23" t="s">
        <v>58</v>
      </c>
      <c r="F119" s="23" t="s">
        <v>82</v>
      </c>
      <c r="G119" s="23"/>
      <c r="H119" s="23" t="n">
        <v>1</v>
      </c>
      <c r="I119" s="23" t="n">
        <v>15</v>
      </c>
      <c r="J119" s="23" t="n">
        <v>4</v>
      </c>
      <c r="K119" s="23" t="n">
        <v>5</v>
      </c>
      <c r="L119" s="23" t="n">
        <v>2</v>
      </c>
      <c r="M119" s="23" t="n">
        <v>9</v>
      </c>
      <c r="N119" s="23" t="n">
        <f aca="false">IF(F119="Delivered",SUM(H119:M119),"")</f>
        <v>36</v>
      </c>
      <c r="O119" s="23" t="n">
        <v>4</v>
      </c>
      <c r="P119" s="23" t="s">
        <v>85</v>
      </c>
      <c r="Q119" s="23" t="str">
        <f aca="false">IF(F119="Delivered",IF(N119&gt;Assumptions!$B$4,"Yes","No"),"")</f>
        <v>No</v>
      </c>
    </row>
    <row r="120" customFormat="false" ht="15" hidden="false" customHeight="false" outlineLevel="0" collapsed="false">
      <c r="A120" s="23" t="s">
        <v>203</v>
      </c>
      <c r="B120" s="24" t="n">
        <v>46284</v>
      </c>
      <c r="C120" s="23" t="n">
        <v>18</v>
      </c>
      <c r="D120" s="23" t="str">
        <f aca="false">IF(OR(AND(C120&gt;=Assumptions!$B$5,C120&lt;=Assumptions!$B$6),AND(C120&gt;=Assumptions!$B$7,C120&lt;=Assumptions!$B$8)),"Peak","Off-peak")</f>
        <v>Off-peak</v>
      </c>
      <c r="E120" s="23" t="s">
        <v>64</v>
      </c>
      <c r="F120" s="23" t="s">
        <v>82</v>
      </c>
      <c r="G120" s="23"/>
      <c r="H120" s="23" t="n">
        <v>1</v>
      </c>
      <c r="I120" s="23" t="n">
        <v>18</v>
      </c>
      <c r="J120" s="23" t="n">
        <v>2</v>
      </c>
      <c r="K120" s="23" t="n">
        <v>3</v>
      </c>
      <c r="L120" s="23" t="n">
        <v>2</v>
      </c>
      <c r="M120" s="23" t="n">
        <v>12</v>
      </c>
      <c r="N120" s="23" t="n">
        <f aca="false">IF(F120="Delivered",SUM(H120:M120),"")</f>
        <v>38</v>
      </c>
      <c r="O120" s="23" t="n">
        <v>5</v>
      </c>
      <c r="P120" s="23" t="s">
        <v>85</v>
      </c>
      <c r="Q120" s="23" t="str">
        <f aca="false">IF(F120="Delivered",IF(N120&gt;Assumptions!$B$4,"Yes","No"),"")</f>
        <v>No</v>
      </c>
    </row>
    <row r="121" customFormat="false" ht="15" hidden="false" customHeight="false" outlineLevel="0" collapsed="false">
      <c r="A121" s="23" t="s">
        <v>204</v>
      </c>
      <c r="B121" s="24" t="n">
        <v>46284</v>
      </c>
      <c r="C121" s="23" t="n">
        <v>18</v>
      </c>
      <c r="D121" s="23" t="str">
        <f aca="false">IF(OR(AND(C121&gt;=Assumptions!$B$5,C121&lt;=Assumptions!$B$6),AND(C121&gt;=Assumptions!$B$7,C121&lt;=Assumptions!$B$8)),"Peak","Off-peak")</f>
        <v>Off-peak</v>
      </c>
      <c r="E121" s="23" t="s">
        <v>63</v>
      </c>
      <c r="F121" s="23" t="s">
        <v>82</v>
      </c>
      <c r="G121" s="23"/>
      <c r="H121" s="23" t="n">
        <v>3</v>
      </c>
      <c r="I121" s="23" t="n">
        <v>19</v>
      </c>
      <c r="J121" s="23" t="n">
        <v>4</v>
      </c>
      <c r="K121" s="23" t="n">
        <v>6</v>
      </c>
      <c r="L121" s="23" t="n">
        <v>2</v>
      </c>
      <c r="M121" s="23" t="n">
        <v>18</v>
      </c>
      <c r="N121" s="23" t="n">
        <f aca="false">IF(F121="Delivered",SUM(H121:M121),"")</f>
        <v>52</v>
      </c>
      <c r="O121" s="23" t="n">
        <v>3</v>
      </c>
      <c r="P121" s="23" t="s">
        <v>85</v>
      </c>
      <c r="Q121" s="23" t="str">
        <f aca="false">IF(F121="Delivered",IF(N121&gt;Assumptions!$B$4,"Yes","No"),"")</f>
        <v>Yes</v>
      </c>
    </row>
    <row r="122" customFormat="false" ht="15" hidden="false" customHeight="false" outlineLevel="0" collapsed="false">
      <c r="A122" s="23" t="s">
        <v>205</v>
      </c>
      <c r="B122" s="24" t="n">
        <v>46284</v>
      </c>
      <c r="C122" s="23" t="n">
        <v>19</v>
      </c>
      <c r="D122" s="23" t="str">
        <f aca="false">IF(OR(AND(C122&gt;=Assumptions!$B$5,C122&lt;=Assumptions!$B$6),AND(C122&gt;=Assumptions!$B$7,C122&lt;=Assumptions!$B$8)),"Peak","Off-peak")</f>
        <v>Peak</v>
      </c>
      <c r="E122" s="23" t="s">
        <v>57</v>
      </c>
      <c r="F122" s="23" t="s">
        <v>82</v>
      </c>
      <c r="G122" s="23"/>
      <c r="H122" s="23" t="n">
        <v>4</v>
      </c>
      <c r="I122" s="23" t="n">
        <v>16</v>
      </c>
      <c r="J122" s="23" t="n">
        <v>2</v>
      </c>
      <c r="K122" s="23" t="n">
        <v>7</v>
      </c>
      <c r="L122" s="23" t="n">
        <v>2</v>
      </c>
      <c r="M122" s="23" t="n">
        <v>11</v>
      </c>
      <c r="N122" s="23" t="n">
        <f aca="false">IF(F122="Delivered",SUM(H122:M122),"")</f>
        <v>42</v>
      </c>
      <c r="O122" s="23" t="n">
        <v>5</v>
      </c>
      <c r="P122" s="23" t="s">
        <v>85</v>
      </c>
      <c r="Q122" s="23" t="str">
        <f aca="false">IF(F122="Delivered",IF(N122&gt;Assumptions!$B$4,"Yes","No"),"")</f>
        <v>No</v>
      </c>
    </row>
    <row r="123" customFormat="false" ht="15" hidden="false" customHeight="false" outlineLevel="0" collapsed="false">
      <c r="A123" s="23" t="s">
        <v>206</v>
      </c>
      <c r="B123" s="24" t="n">
        <v>46284</v>
      </c>
      <c r="C123" s="23" t="n">
        <v>19</v>
      </c>
      <c r="D123" s="23" t="str">
        <f aca="false">IF(OR(AND(C123&gt;=Assumptions!$B$5,C123&lt;=Assumptions!$B$6),AND(C123&gt;=Assumptions!$B$7,C123&lt;=Assumptions!$B$8)),"Peak","Off-peak")</f>
        <v>Peak</v>
      </c>
      <c r="E123" s="23" t="s">
        <v>58</v>
      </c>
      <c r="F123" s="23" t="s">
        <v>82</v>
      </c>
      <c r="G123" s="23"/>
      <c r="H123" s="23" t="n">
        <v>3</v>
      </c>
      <c r="I123" s="23" t="n">
        <v>10</v>
      </c>
      <c r="J123" s="23" t="n">
        <v>6</v>
      </c>
      <c r="K123" s="23" t="n">
        <v>4</v>
      </c>
      <c r="L123" s="23" t="n">
        <v>7</v>
      </c>
      <c r="M123" s="23" t="n">
        <v>11</v>
      </c>
      <c r="N123" s="23" t="n">
        <f aca="false">IF(F123="Delivered",SUM(H123:M123),"")</f>
        <v>41</v>
      </c>
      <c r="O123" s="23" t="n">
        <v>4</v>
      </c>
      <c r="P123" s="23" t="s">
        <v>85</v>
      </c>
      <c r="Q123" s="23" t="str">
        <f aca="false">IF(F123="Delivered",IF(N123&gt;Assumptions!$B$4,"Yes","No"),"")</f>
        <v>No</v>
      </c>
    </row>
    <row r="124" customFormat="false" ht="15" hidden="false" customHeight="false" outlineLevel="0" collapsed="false">
      <c r="A124" s="23" t="s">
        <v>207</v>
      </c>
      <c r="B124" s="24" t="n">
        <v>46284</v>
      </c>
      <c r="C124" s="23" t="n">
        <v>19</v>
      </c>
      <c r="D124" s="23" t="str">
        <f aca="false">IF(OR(AND(C124&gt;=Assumptions!$B$5,C124&lt;=Assumptions!$B$6),AND(C124&gt;=Assumptions!$B$7,C124&lt;=Assumptions!$B$8)),"Peak","Off-peak")</f>
        <v>Peak</v>
      </c>
      <c r="E124" s="23" t="s">
        <v>62</v>
      </c>
      <c r="F124" s="23" t="s">
        <v>82</v>
      </c>
      <c r="G124" s="23"/>
      <c r="H124" s="23" t="n">
        <v>5</v>
      </c>
      <c r="I124" s="23" t="n">
        <v>27</v>
      </c>
      <c r="J124" s="23" t="n">
        <v>6</v>
      </c>
      <c r="K124" s="23" t="n">
        <v>11</v>
      </c>
      <c r="L124" s="23" t="n">
        <v>4</v>
      </c>
      <c r="M124" s="23" t="n">
        <v>8</v>
      </c>
      <c r="N124" s="23" t="n">
        <f aca="false">IF(F124="Delivered",SUM(H124:M124),"")</f>
        <v>61</v>
      </c>
      <c r="O124" s="23" t="n">
        <v>3</v>
      </c>
      <c r="P124" s="23" t="s">
        <v>85</v>
      </c>
      <c r="Q124" s="23" t="str">
        <f aca="false">IF(F124="Delivered",IF(N124&gt;Assumptions!$B$4,"Yes","No"),"")</f>
        <v>Yes</v>
      </c>
    </row>
    <row r="125" customFormat="false" ht="15" hidden="false" customHeight="false" outlineLevel="0" collapsed="false">
      <c r="A125" s="23" t="s">
        <v>208</v>
      </c>
      <c r="B125" s="24" t="n">
        <v>46284</v>
      </c>
      <c r="C125" s="23" t="n">
        <v>19</v>
      </c>
      <c r="D125" s="23" t="str">
        <f aca="false">IF(OR(AND(C125&gt;=Assumptions!$B$5,C125&lt;=Assumptions!$B$6),AND(C125&gt;=Assumptions!$B$7,C125&lt;=Assumptions!$B$8)),"Peak","Off-peak")</f>
        <v>Peak</v>
      </c>
      <c r="E125" s="23" t="s">
        <v>62</v>
      </c>
      <c r="F125" s="23" t="s">
        <v>54</v>
      </c>
      <c r="G125" s="23" t="s">
        <v>45</v>
      </c>
      <c r="N125" s="23" t="str">
        <f aca="false">IF(F125="Delivered",SUM(H125:M125),"")</f>
        <v/>
      </c>
      <c r="Q125" s="23" t="str">
        <f aca="false">IF(F125="Delivered",IF(N125&gt;Assumptions!$B$4,"Yes","No"),"")</f>
        <v/>
      </c>
    </row>
    <row r="126" customFormat="false" ht="15" hidden="false" customHeight="false" outlineLevel="0" collapsed="false">
      <c r="A126" s="23" t="s">
        <v>209</v>
      </c>
      <c r="B126" s="24" t="n">
        <v>46284</v>
      </c>
      <c r="C126" s="23" t="n">
        <v>20</v>
      </c>
      <c r="D126" s="23" t="str">
        <f aca="false">IF(OR(AND(C126&gt;=Assumptions!$B$5,C126&lt;=Assumptions!$B$6),AND(C126&gt;=Assumptions!$B$7,C126&lt;=Assumptions!$B$8)),"Peak","Off-peak")</f>
        <v>Peak</v>
      </c>
      <c r="E126" s="23" t="s">
        <v>64</v>
      </c>
      <c r="F126" s="23" t="s">
        <v>82</v>
      </c>
      <c r="G126" s="23"/>
      <c r="H126" s="23" t="n">
        <v>3</v>
      </c>
      <c r="I126" s="23" t="n">
        <v>16</v>
      </c>
      <c r="J126" s="23" t="n">
        <v>7</v>
      </c>
      <c r="K126" s="23" t="n">
        <v>5</v>
      </c>
      <c r="L126" s="23" t="n">
        <v>2</v>
      </c>
      <c r="M126" s="23" t="n">
        <v>11</v>
      </c>
      <c r="N126" s="23" t="n">
        <f aca="false">IF(F126="Delivered",SUM(H126:M126),"")</f>
        <v>44</v>
      </c>
      <c r="O126" s="23" t="n">
        <v>3</v>
      </c>
      <c r="P126" s="23" t="s">
        <v>83</v>
      </c>
      <c r="Q126" s="23" t="str">
        <f aca="false">IF(F126="Delivered",IF(N126&gt;Assumptions!$B$4,"Yes","No"),"")</f>
        <v>No</v>
      </c>
    </row>
    <row r="127" customFormat="false" ht="15" hidden="false" customHeight="false" outlineLevel="0" collapsed="false">
      <c r="A127" s="23" t="s">
        <v>210</v>
      </c>
      <c r="B127" s="24" t="n">
        <v>46284</v>
      </c>
      <c r="C127" s="23" t="n">
        <v>20</v>
      </c>
      <c r="D127" s="23" t="str">
        <f aca="false">IF(OR(AND(C127&gt;=Assumptions!$B$5,C127&lt;=Assumptions!$B$6),AND(C127&gt;=Assumptions!$B$7,C127&lt;=Assumptions!$B$8)),"Peak","Off-peak")</f>
        <v>Peak</v>
      </c>
      <c r="E127" s="23" t="s">
        <v>61</v>
      </c>
      <c r="F127" s="23" t="s">
        <v>82</v>
      </c>
      <c r="G127" s="23"/>
      <c r="H127" s="23" t="n">
        <v>4</v>
      </c>
      <c r="I127" s="23" t="n">
        <v>6</v>
      </c>
      <c r="J127" s="23" t="n">
        <v>9</v>
      </c>
      <c r="K127" s="23" t="n">
        <v>5</v>
      </c>
      <c r="L127" s="23" t="n">
        <v>2</v>
      </c>
      <c r="M127" s="23" t="n">
        <v>6</v>
      </c>
      <c r="N127" s="23" t="n">
        <f aca="false">IF(F127="Delivered",SUM(H127:M127),"")</f>
        <v>32</v>
      </c>
      <c r="O127" s="23" t="n">
        <v>5</v>
      </c>
      <c r="P127" s="23" t="s">
        <v>85</v>
      </c>
      <c r="Q127" s="23" t="str">
        <f aca="false">IF(F127="Delivered",IF(N127&gt;Assumptions!$B$4,"Yes","No"),"")</f>
        <v>No</v>
      </c>
    </row>
    <row r="128" customFormat="false" ht="15" hidden="false" customHeight="false" outlineLevel="0" collapsed="false">
      <c r="A128" s="23" t="s">
        <v>211</v>
      </c>
      <c r="B128" s="24" t="n">
        <v>46284</v>
      </c>
      <c r="C128" s="23" t="n">
        <v>20</v>
      </c>
      <c r="D128" s="23" t="str">
        <f aca="false">IF(OR(AND(C128&gt;=Assumptions!$B$5,C128&lt;=Assumptions!$B$6),AND(C128&gt;=Assumptions!$B$7,C128&lt;=Assumptions!$B$8)),"Peak","Off-peak")</f>
        <v>Peak</v>
      </c>
      <c r="E128" s="23" t="s">
        <v>59</v>
      </c>
      <c r="F128" s="23" t="s">
        <v>82</v>
      </c>
      <c r="G128" s="23"/>
      <c r="H128" s="23" t="n">
        <v>8</v>
      </c>
      <c r="I128" s="23" t="n">
        <v>4</v>
      </c>
      <c r="J128" s="23" t="n">
        <v>11</v>
      </c>
      <c r="K128" s="23" t="n">
        <v>2</v>
      </c>
      <c r="L128" s="23" t="n">
        <v>4</v>
      </c>
      <c r="M128" s="23" t="n">
        <v>6</v>
      </c>
      <c r="N128" s="23" t="n">
        <f aca="false">IF(F128="Delivered",SUM(H128:M128),"")</f>
        <v>35</v>
      </c>
      <c r="O128" s="23" t="n">
        <v>5</v>
      </c>
      <c r="P128" s="23" t="s">
        <v>85</v>
      </c>
      <c r="Q128" s="23" t="str">
        <f aca="false">IF(F128="Delivered",IF(N128&gt;Assumptions!$B$4,"Yes","No"),"")</f>
        <v>No</v>
      </c>
    </row>
    <row r="129" customFormat="false" ht="15" hidden="false" customHeight="false" outlineLevel="0" collapsed="false">
      <c r="A129" s="23" t="s">
        <v>212</v>
      </c>
      <c r="B129" s="24" t="n">
        <v>46284</v>
      </c>
      <c r="C129" s="23" t="n">
        <v>20</v>
      </c>
      <c r="D129" s="23" t="str">
        <f aca="false">IF(OR(AND(C129&gt;=Assumptions!$B$5,C129&lt;=Assumptions!$B$6),AND(C129&gt;=Assumptions!$B$7,C129&lt;=Assumptions!$B$8)),"Peak","Off-peak")</f>
        <v>Peak</v>
      </c>
      <c r="E129" s="23" t="s">
        <v>64</v>
      </c>
      <c r="F129" s="23" t="s">
        <v>82</v>
      </c>
      <c r="G129" s="23"/>
      <c r="H129" s="23" t="n">
        <v>2</v>
      </c>
      <c r="I129" s="23" t="n">
        <v>7</v>
      </c>
      <c r="J129" s="23" t="n">
        <v>7</v>
      </c>
      <c r="K129" s="23" t="n">
        <v>2</v>
      </c>
      <c r="L129" s="23" t="n">
        <v>4</v>
      </c>
      <c r="M129" s="23" t="n">
        <v>7</v>
      </c>
      <c r="N129" s="23" t="n">
        <f aca="false">IF(F129="Delivered",SUM(H129:M129),"")</f>
        <v>29</v>
      </c>
      <c r="O129" s="23" t="n">
        <v>5</v>
      </c>
      <c r="P129" s="23" t="s">
        <v>85</v>
      </c>
      <c r="Q129" s="23" t="str">
        <f aca="false">IF(F129="Delivered",IF(N129&gt;Assumptions!$B$4,"Yes","No"),"")</f>
        <v>No</v>
      </c>
    </row>
    <row r="130" customFormat="false" ht="15" hidden="false" customHeight="false" outlineLevel="0" collapsed="false">
      <c r="A130" s="23" t="s">
        <v>213</v>
      </c>
      <c r="B130" s="24" t="n">
        <v>46284</v>
      </c>
      <c r="C130" s="23" t="n">
        <v>21</v>
      </c>
      <c r="D130" s="23" t="str">
        <f aca="false">IF(OR(AND(C130&gt;=Assumptions!$B$5,C130&lt;=Assumptions!$B$6),AND(C130&gt;=Assumptions!$B$7,C130&lt;=Assumptions!$B$8)),"Peak","Off-peak")</f>
        <v>Peak</v>
      </c>
      <c r="E130" s="23" t="s">
        <v>58</v>
      </c>
      <c r="F130" s="23" t="s">
        <v>82</v>
      </c>
      <c r="G130" s="23"/>
      <c r="H130" s="23" t="n">
        <v>3</v>
      </c>
      <c r="I130" s="23" t="n">
        <v>17</v>
      </c>
      <c r="J130" s="23" t="n">
        <v>9</v>
      </c>
      <c r="K130" s="23" t="n">
        <v>6</v>
      </c>
      <c r="L130" s="23" t="n">
        <v>3</v>
      </c>
      <c r="M130" s="23" t="n">
        <v>6</v>
      </c>
      <c r="N130" s="23" t="n">
        <f aca="false">IF(F130="Delivered",SUM(H130:M130),"")</f>
        <v>44</v>
      </c>
      <c r="O130" s="23" t="n">
        <v>4</v>
      </c>
      <c r="P130" s="23" t="s">
        <v>85</v>
      </c>
      <c r="Q130" s="23" t="str">
        <f aca="false">IF(F130="Delivered",IF(N130&gt;Assumptions!$B$4,"Yes","No"),"")</f>
        <v>No</v>
      </c>
    </row>
    <row r="131" customFormat="false" ht="15" hidden="false" customHeight="false" outlineLevel="0" collapsed="false">
      <c r="A131" s="23" t="s">
        <v>214</v>
      </c>
      <c r="B131" s="24" t="n">
        <v>46284</v>
      </c>
      <c r="C131" s="23" t="n">
        <v>21</v>
      </c>
      <c r="D131" s="23" t="str">
        <f aca="false">IF(OR(AND(C131&gt;=Assumptions!$B$5,C131&lt;=Assumptions!$B$6),AND(C131&gt;=Assumptions!$B$7,C131&lt;=Assumptions!$B$8)),"Peak","Off-peak")</f>
        <v>Peak</v>
      </c>
      <c r="E131" s="23" t="s">
        <v>60</v>
      </c>
      <c r="F131" s="23" t="s">
        <v>82</v>
      </c>
      <c r="G131" s="23"/>
      <c r="H131" s="23" t="n">
        <v>8</v>
      </c>
      <c r="I131" s="23" t="n">
        <v>17</v>
      </c>
      <c r="J131" s="23" t="n">
        <v>12</v>
      </c>
      <c r="K131" s="23" t="n">
        <v>8</v>
      </c>
      <c r="L131" s="23" t="n">
        <v>2</v>
      </c>
      <c r="M131" s="23" t="n">
        <v>10</v>
      </c>
      <c r="N131" s="23" t="n">
        <f aca="false">IF(F131="Delivered",SUM(H131:M131),"")</f>
        <v>57</v>
      </c>
      <c r="O131" s="23" t="n">
        <v>2</v>
      </c>
      <c r="P131" s="23" t="s">
        <v>85</v>
      </c>
      <c r="Q131" s="23" t="str">
        <f aca="false">IF(F131="Delivered",IF(N131&gt;Assumptions!$B$4,"Yes","No"),"")</f>
        <v>Yes</v>
      </c>
    </row>
    <row r="132" customFormat="false" ht="15" hidden="false" customHeight="false" outlineLevel="0" collapsed="false">
      <c r="A132" s="23" t="s">
        <v>215</v>
      </c>
      <c r="B132" s="24" t="n">
        <v>46284</v>
      </c>
      <c r="C132" s="23" t="n">
        <v>22</v>
      </c>
      <c r="D132" s="23" t="str">
        <f aca="false">IF(OR(AND(C132&gt;=Assumptions!$B$5,C132&lt;=Assumptions!$B$6),AND(C132&gt;=Assumptions!$B$7,C132&lt;=Assumptions!$B$8)),"Peak","Off-peak")</f>
        <v>Off-peak</v>
      </c>
      <c r="E132" s="23" t="s">
        <v>58</v>
      </c>
      <c r="F132" s="23" t="s">
        <v>82</v>
      </c>
      <c r="G132" s="23"/>
      <c r="H132" s="23" t="n">
        <v>1</v>
      </c>
      <c r="I132" s="23" t="n">
        <v>16</v>
      </c>
      <c r="J132" s="23" t="n">
        <v>8</v>
      </c>
      <c r="K132" s="23" t="n">
        <v>4</v>
      </c>
      <c r="L132" s="23" t="n">
        <v>2</v>
      </c>
      <c r="M132" s="23" t="n">
        <v>15</v>
      </c>
      <c r="N132" s="23" t="n">
        <f aca="false">IF(F132="Delivered",SUM(H132:M132),"")</f>
        <v>46</v>
      </c>
      <c r="O132" s="23" t="n">
        <v>4</v>
      </c>
      <c r="P132" s="23" t="s">
        <v>85</v>
      </c>
      <c r="Q132" s="23" t="str">
        <f aca="false">IF(F132="Delivered",IF(N132&gt;Assumptions!$B$4,"Yes","No"),"")</f>
        <v>Yes</v>
      </c>
    </row>
    <row r="133" customFormat="false" ht="15" hidden="false" customHeight="false" outlineLevel="0" collapsed="false">
      <c r="A133" s="23" t="s">
        <v>216</v>
      </c>
      <c r="B133" s="24" t="n">
        <v>46284</v>
      </c>
      <c r="C133" s="23" t="n">
        <v>22</v>
      </c>
      <c r="D133" s="23" t="str">
        <f aca="false">IF(OR(AND(C133&gt;=Assumptions!$B$5,C133&lt;=Assumptions!$B$6),AND(C133&gt;=Assumptions!$B$7,C133&lt;=Assumptions!$B$8)),"Peak","Off-peak")</f>
        <v>Off-peak</v>
      </c>
      <c r="E133" s="23" t="s">
        <v>60</v>
      </c>
      <c r="F133" s="23" t="s">
        <v>82</v>
      </c>
      <c r="G133" s="23"/>
      <c r="H133" s="23" t="n">
        <v>2</v>
      </c>
      <c r="I133" s="23" t="n">
        <v>10</v>
      </c>
      <c r="J133" s="23" t="n">
        <v>2</v>
      </c>
      <c r="K133" s="23" t="n">
        <v>3</v>
      </c>
      <c r="L133" s="23" t="n">
        <v>1</v>
      </c>
      <c r="M133" s="23" t="n">
        <v>6</v>
      </c>
      <c r="N133" s="23" t="n">
        <f aca="false">IF(F133="Delivered",SUM(H133:M133),"")</f>
        <v>24</v>
      </c>
      <c r="O133" s="23" t="n">
        <v>5</v>
      </c>
      <c r="P133" s="23" t="s">
        <v>85</v>
      </c>
      <c r="Q133" s="23" t="str">
        <f aca="false">IF(F133="Delivered",IF(N133&gt;Assumptions!$B$4,"Yes","No"),"")</f>
        <v>No</v>
      </c>
    </row>
    <row r="134" customFormat="false" ht="15" hidden="false" customHeight="false" outlineLevel="0" collapsed="false">
      <c r="A134" s="23" t="s">
        <v>217</v>
      </c>
      <c r="B134" s="24" t="n">
        <v>46285</v>
      </c>
      <c r="C134" s="23" t="n">
        <v>12</v>
      </c>
      <c r="D134" s="23" t="str">
        <f aca="false">IF(OR(AND(C134&gt;=Assumptions!$B$5,C134&lt;=Assumptions!$B$6),AND(C134&gt;=Assumptions!$B$7,C134&lt;=Assumptions!$B$8)),"Peak","Off-peak")</f>
        <v>Peak</v>
      </c>
      <c r="E134" s="23" t="s">
        <v>57</v>
      </c>
      <c r="F134" s="23" t="s">
        <v>82</v>
      </c>
      <c r="G134" s="23"/>
      <c r="H134" s="23" t="n">
        <v>5</v>
      </c>
      <c r="I134" s="23" t="n">
        <v>18</v>
      </c>
      <c r="J134" s="23" t="n">
        <v>4</v>
      </c>
      <c r="K134" s="23" t="n">
        <v>11</v>
      </c>
      <c r="L134" s="23" t="n">
        <v>2</v>
      </c>
      <c r="M134" s="23" t="n">
        <v>5</v>
      </c>
      <c r="N134" s="23" t="n">
        <f aca="false">IF(F134="Delivered",SUM(H134:M134),"")</f>
        <v>45</v>
      </c>
      <c r="O134" s="23" t="n">
        <v>5</v>
      </c>
      <c r="P134" s="23" t="s">
        <v>85</v>
      </c>
      <c r="Q134" s="23" t="str">
        <f aca="false">IF(F134="Delivered",IF(N134&gt;Assumptions!$B$4,"Yes","No"),"")</f>
        <v>No</v>
      </c>
    </row>
    <row r="135" customFormat="false" ht="15" hidden="false" customHeight="false" outlineLevel="0" collapsed="false">
      <c r="A135" s="23" t="s">
        <v>218</v>
      </c>
      <c r="B135" s="24" t="n">
        <v>46285</v>
      </c>
      <c r="C135" s="23" t="n">
        <v>12</v>
      </c>
      <c r="D135" s="23" t="str">
        <f aca="false">IF(OR(AND(C135&gt;=Assumptions!$B$5,C135&lt;=Assumptions!$B$6),AND(C135&gt;=Assumptions!$B$7,C135&lt;=Assumptions!$B$8)),"Peak","Off-peak")</f>
        <v>Peak</v>
      </c>
      <c r="E135" s="23" t="s">
        <v>64</v>
      </c>
      <c r="F135" s="23" t="s">
        <v>82</v>
      </c>
      <c r="G135" s="23"/>
      <c r="H135" s="23" t="n">
        <v>2</v>
      </c>
      <c r="I135" s="23" t="n">
        <v>11</v>
      </c>
      <c r="J135" s="23" t="n">
        <v>18</v>
      </c>
      <c r="K135" s="23" t="n">
        <v>11</v>
      </c>
      <c r="L135" s="23" t="n">
        <v>5</v>
      </c>
      <c r="M135" s="23" t="n">
        <v>9</v>
      </c>
      <c r="N135" s="23" t="n">
        <f aca="false">IF(F135="Delivered",SUM(H135:M135),"")</f>
        <v>56</v>
      </c>
      <c r="O135" s="23" t="n">
        <v>3</v>
      </c>
      <c r="P135" s="23" t="s">
        <v>85</v>
      </c>
      <c r="Q135" s="23" t="str">
        <f aca="false">IF(F135="Delivered",IF(N135&gt;Assumptions!$B$4,"Yes","No"),"")</f>
        <v>Yes</v>
      </c>
    </row>
    <row r="136" customFormat="false" ht="15" hidden="false" customHeight="false" outlineLevel="0" collapsed="false">
      <c r="A136" s="23" t="s">
        <v>219</v>
      </c>
      <c r="B136" s="24" t="n">
        <v>46285</v>
      </c>
      <c r="C136" s="23" t="n">
        <v>12</v>
      </c>
      <c r="D136" s="23" t="str">
        <f aca="false">IF(OR(AND(C136&gt;=Assumptions!$B$5,C136&lt;=Assumptions!$B$6),AND(C136&gt;=Assumptions!$B$7,C136&lt;=Assumptions!$B$8)),"Peak","Off-peak")</f>
        <v>Peak</v>
      </c>
      <c r="E136" s="23" t="s">
        <v>63</v>
      </c>
      <c r="F136" s="23" t="s">
        <v>82</v>
      </c>
      <c r="G136" s="23"/>
      <c r="H136" s="23" t="n">
        <v>4</v>
      </c>
      <c r="I136" s="23" t="n">
        <v>19</v>
      </c>
      <c r="J136" s="23" t="n">
        <v>6</v>
      </c>
      <c r="K136" s="23" t="n">
        <v>15</v>
      </c>
      <c r="L136" s="23" t="n">
        <v>4</v>
      </c>
      <c r="M136" s="23" t="n">
        <v>17</v>
      </c>
      <c r="N136" s="23" t="n">
        <f aca="false">IF(F136="Delivered",SUM(H136:M136),"")</f>
        <v>65</v>
      </c>
      <c r="O136" s="23" t="n">
        <v>3</v>
      </c>
      <c r="P136" s="23" t="s">
        <v>85</v>
      </c>
      <c r="Q136" s="23" t="str">
        <f aca="false">IF(F136="Delivered",IF(N136&gt;Assumptions!$B$4,"Yes","No"),"")</f>
        <v>Yes</v>
      </c>
    </row>
    <row r="137" customFormat="false" ht="15" hidden="false" customHeight="false" outlineLevel="0" collapsed="false">
      <c r="A137" s="23" t="s">
        <v>220</v>
      </c>
      <c r="B137" s="24" t="n">
        <v>46285</v>
      </c>
      <c r="C137" s="23" t="n">
        <v>13</v>
      </c>
      <c r="D137" s="23" t="str">
        <f aca="false">IF(OR(AND(C137&gt;=Assumptions!$B$5,C137&lt;=Assumptions!$B$6),AND(C137&gt;=Assumptions!$B$7,C137&lt;=Assumptions!$B$8)),"Peak","Off-peak")</f>
        <v>Peak</v>
      </c>
      <c r="E137" s="23" t="s">
        <v>60</v>
      </c>
      <c r="F137" s="23" t="s">
        <v>82</v>
      </c>
      <c r="G137" s="23"/>
      <c r="H137" s="23" t="n">
        <v>4</v>
      </c>
      <c r="I137" s="23" t="n">
        <v>9</v>
      </c>
      <c r="J137" s="23" t="n">
        <v>2</v>
      </c>
      <c r="K137" s="23" t="n">
        <v>4</v>
      </c>
      <c r="L137" s="23" t="n">
        <v>10</v>
      </c>
      <c r="M137" s="23" t="n">
        <v>10</v>
      </c>
      <c r="N137" s="23" t="n">
        <f aca="false">IF(F137="Delivered",SUM(H137:M137),"")</f>
        <v>39</v>
      </c>
      <c r="O137" s="23" t="n">
        <v>3</v>
      </c>
      <c r="P137" s="23" t="s">
        <v>85</v>
      </c>
      <c r="Q137" s="23" t="str">
        <f aca="false">IF(F137="Delivered",IF(N137&gt;Assumptions!$B$4,"Yes","No"),"")</f>
        <v>No</v>
      </c>
    </row>
    <row r="138" customFormat="false" ht="15" hidden="false" customHeight="false" outlineLevel="0" collapsed="false">
      <c r="A138" s="23" t="s">
        <v>221</v>
      </c>
      <c r="B138" s="24" t="n">
        <v>46285</v>
      </c>
      <c r="C138" s="23" t="n">
        <v>13</v>
      </c>
      <c r="D138" s="23" t="str">
        <f aca="false">IF(OR(AND(C138&gt;=Assumptions!$B$5,C138&lt;=Assumptions!$B$6),AND(C138&gt;=Assumptions!$B$7,C138&lt;=Assumptions!$B$8)),"Peak","Off-peak")</f>
        <v>Peak</v>
      </c>
      <c r="E138" s="23" t="s">
        <v>60</v>
      </c>
      <c r="F138" s="23" t="s">
        <v>82</v>
      </c>
      <c r="G138" s="23"/>
      <c r="H138" s="23" t="n">
        <v>2</v>
      </c>
      <c r="I138" s="23" t="n">
        <v>9</v>
      </c>
      <c r="J138" s="23" t="n">
        <v>4</v>
      </c>
      <c r="K138" s="23" t="n">
        <v>6</v>
      </c>
      <c r="L138" s="23" t="n">
        <v>5</v>
      </c>
      <c r="M138" s="23" t="n">
        <v>12</v>
      </c>
      <c r="N138" s="23" t="n">
        <f aca="false">IF(F138="Delivered",SUM(H138:M138),"")</f>
        <v>38</v>
      </c>
      <c r="O138" s="23" t="n">
        <v>4</v>
      </c>
      <c r="P138" s="23" t="s">
        <v>85</v>
      </c>
      <c r="Q138" s="23" t="str">
        <f aca="false">IF(F138="Delivered",IF(N138&gt;Assumptions!$B$4,"Yes","No"),"")</f>
        <v>No</v>
      </c>
    </row>
    <row r="139" customFormat="false" ht="15" hidden="false" customHeight="false" outlineLevel="0" collapsed="false">
      <c r="A139" s="23" t="s">
        <v>222</v>
      </c>
      <c r="B139" s="24" t="n">
        <v>46285</v>
      </c>
      <c r="C139" s="23" t="n">
        <v>13</v>
      </c>
      <c r="D139" s="23" t="str">
        <f aca="false">IF(OR(AND(C139&gt;=Assumptions!$B$5,C139&lt;=Assumptions!$B$6),AND(C139&gt;=Assumptions!$B$7,C139&lt;=Assumptions!$B$8)),"Peak","Off-peak")</f>
        <v>Peak</v>
      </c>
      <c r="E139" s="23" t="s">
        <v>61</v>
      </c>
      <c r="F139" s="23" t="s">
        <v>54</v>
      </c>
      <c r="G139" s="23" t="s">
        <v>45</v>
      </c>
      <c r="N139" s="23" t="str">
        <f aca="false">IF(F139="Delivered",SUM(H139:M139),"")</f>
        <v/>
      </c>
      <c r="Q139" s="23" t="str">
        <f aca="false">IF(F139="Delivered",IF(N139&gt;Assumptions!$B$4,"Yes","No"),"")</f>
        <v/>
      </c>
    </row>
    <row r="140" customFormat="false" ht="15" hidden="false" customHeight="false" outlineLevel="0" collapsed="false">
      <c r="A140" s="23" t="s">
        <v>223</v>
      </c>
      <c r="B140" s="24" t="n">
        <v>46285</v>
      </c>
      <c r="C140" s="23" t="n">
        <v>13</v>
      </c>
      <c r="D140" s="23" t="str">
        <f aca="false">IF(OR(AND(C140&gt;=Assumptions!$B$5,C140&lt;=Assumptions!$B$6),AND(C140&gt;=Assumptions!$B$7,C140&lt;=Assumptions!$B$8)),"Peak","Off-peak")</f>
        <v>Peak</v>
      </c>
      <c r="E140" s="23" t="s">
        <v>59</v>
      </c>
      <c r="F140" s="23" t="s">
        <v>82</v>
      </c>
      <c r="G140" s="23"/>
      <c r="H140" s="23" t="n">
        <v>10</v>
      </c>
      <c r="I140" s="23" t="n">
        <v>30</v>
      </c>
      <c r="J140" s="23" t="n">
        <v>11</v>
      </c>
      <c r="K140" s="23" t="n">
        <v>4</v>
      </c>
      <c r="L140" s="23" t="n">
        <v>7</v>
      </c>
      <c r="M140" s="23" t="n">
        <v>12</v>
      </c>
      <c r="N140" s="23" t="n">
        <f aca="false">IF(F140="Delivered",SUM(H140:M140),"")</f>
        <v>74</v>
      </c>
      <c r="O140" s="23" t="n">
        <v>3</v>
      </c>
      <c r="P140" s="23" t="s">
        <v>85</v>
      </c>
      <c r="Q140" s="23" t="str">
        <f aca="false">IF(F140="Delivered",IF(N140&gt;Assumptions!$B$4,"Yes","No"),"")</f>
        <v>Yes</v>
      </c>
    </row>
    <row r="141" customFormat="false" ht="15" hidden="false" customHeight="false" outlineLevel="0" collapsed="false">
      <c r="A141" s="23" t="s">
        <v>224</v>
      </c>
      <c r="B141" s="24" t="n">
        <v>46285</v>
      </c>
      <c r="C141" s="23" t="n">
        <v>13</v>
      </c>
      <c r="D141" s="23" t="str">
        <f aca="false">IF(OR(AND(C141&gt;=Assumptions!$B$5,C141&lt;=Assumptions!$B$6),AND(C141&gt;=Assumptions!$B$7,C141&lt;=Assumptions!$B$8)),"Peak","Off-peak")</f>
        <v>Peak</v>
      </c>
      <c r="E141" s="23" t="s">
        <v>57</v>
      </c>
      <c r="F141" s="23" t="s">
        <v>54</v>
      </c>
      <c r="G141" s="23" t="s">
        <v>46</v>
      </c>
      <c r="N141" s="23" t="str">
        <f aca="false">IF(F141="Delivered",SUM(H141:M141),"")</f>
        <v/>
      </c>
      <c r="Q141" s="23" t="str">
        <f aca="false">IF(F141="Delivered",IF(N141&gt;Assumptions!$B$4,"Yes","No"),"")</f>
        <v/>
      </c>
    </row>
    <row r="142" customFormat="false" ht="15" hidden="false" customHeight="false" outlineLevel="0" collapsed="false">
      <c r="A142" s="23" t="s">
        <v>225</v>
      </c>
      <c r="B142" s="24" t="n">
        <v>46285</v>
      </c>
      <c r="C142" s="23" t="n">
        <v>14</v>
      </c>
      <c r="D142" s="23" t="str">
        <f aca="false">IF(OR(AND(C142&gt;=Assumptions!$B$5,C142&lt;=Assumptions!$B$6),AND(C142&gt;=Assumptions!$B$7,C142&lt;=Assumptions!$B$8)),"Peak","Off-peak")</f>
        <v>Off-peak</v>
      </c>
      <c r="E142" s="23" t="s">
        <v>61</v>
      </c>
      <c r="F142" s="23" t="s">
        <v>82</v>
      </c>
      <c r="G142" s="23"/>
      <c r="H142" s="23" t="n">
        <v>3</v>
      </c>
      <c r="I142" s="23" t="n">
        <v>13</v>
      </c>
      <c r="J142" s="23" t="n">
        <v>3</v>
      </c>
      <c r="K142" s="23" t="n">
        <v>3</v>
      </c>
      <c r="L142" s="23" t="n">
        <v>0</v>
      </c>
      <c r="M142" s="23" t="n">
        <v>11</v>
      </c>
      <c r="N142" s="23" t="n">
        <f aca="false">IF(F142="Delivered",SUM(H142:M142),"")</f>
        <v>33</v>
      </c>
      <c r="O142" s="23" t="n">
        <v>5</v>
      </c>
      <c r="P142" s="23" t="s">
        <v>85</v>
      </c>
      <c r="Q142" s="23" t="str">
        <f aca="false">IF(F142="Delivered",IF(N142&gt;Assumptions!$B$4,"Yes","No"),"")</f>
        <v>No</v>
      </c>
    </row>
    <row r="143" customFormat="false" ht="15" hidden="false" customHeight="false" outlineLevel="0" collapsed="false">
      <c r="A143" s="23" t="s">
        <v>226</v>
      </c>
      <c r="B143" s="24" t="n">
        <v>46285</v>
      </c>
      <c r="C143" s="23" t="n">
        <v>15</v>
      </c>
      <c r="D143" s="23" t="str">
        <f aca="false">IF(OR(AND(C143&gt;=Assumptions!$B$5,C143&lt;=Assumptions!$B$6),AND(C143&gt;=Assumptions!$B$7,C143&lt;=Assumptions!$B$8)),"Peak","Off-peak")</f>
        <v>Off-peak</v>
      </c>
      <c r="E143" s="23" t="s">
        <v>57</v>
      </c>
      <c r="F143" s="23" t="s">
        <v>82</v>
      </c>
      <c r="G143" s="23"/>
      <c r="H143" s="23" t="n">
        <v>2</v>
      </c>
      <c r="I143" s="23" t="n">
        <v>21</v>
      </c>
      <c r="J143" s="23" t="n">
        <v>1</v>
      </c>
      <c r="K143" s="23" t="n">
        <v>7</v>
      </c>
      <c r="L143" s="23" t="n">
        <v>1</v>
      </c>
      <c r="M143" s="23" t="n">
        <v>4</v>
      </c>
      <c r="N143" s="23" t="n">
        <f aca="false">IF(F143="Delivered",SUM(H143:M143),"")</f>
        <v>36</v>
      </c>
      <c r="O143" s="23" t="n">
        <v>4</v>
      </c>
      <c r="P143" s="23" t="s">
        <v>85</v>
      </c>
      <c r="Q143" s="23" t="str">
        <f aca="false">IF(F143="Delivered",IF(N143&gt;Assumptions!$B$4,"Yes","No"),"")</f>
        <v>No</v>
      </c>
    </row>
    <row r="144" customFormat="false" ht="15" hidden="false" customHeight="false" outlineLevel="0" collapsed="false">
      <c r="A144" s="23" t="s">
        <v>227</v>
      </c>
      <c r="B144" s="24" t="n">
        <v>46285</v>
      </c>
      <c r="C144" s="23" t="n">
        <v>15</v>
      </c>
      <c r="D144" s="23" t="str">
        <f aca="false">IF(OR(AND(C144&gt;=Assumptions!$B$5,C144&lt;=Assumptions!$B$6),AND(C144&gt;=Assumptions!$B$7,C144&lt;=Assumptions!$B$8)),"Peak","Off-peak")</f>
        <v>Off-peak</v>
      </c>
      <c r="E144" s="23" t="s">
        <v>57</v>
      </c>
      <c r="F144" s="23" t="s">
        <v>54</v>
      </c>
      <c r="G144" s="23" t="s">
        <v>45</v>
      </c>
      <c r="N144" s="23" t="str">
        <f aca="false">IF(F144="Delivered",SUM(H144:M144),"")</f>
        <v/>
      </c>
      <c r="Q144" s="23" t="str">
        <f aca="false">IF(F144="Delivered",IF(N144&gt;Assumptions!$B$4,"Yes","No"),"")</f>
        <v/>
      </c>
    </row>
    <row r="145" customFormat="false" ht="15" hidden="false" customHeight="false" outlineLevel="0" collapsed="false">
      <c r="A145" s="23" t="s">
        <v>228</v>
      </c>
      <c r="B145" s="24" t="n">
        <v>46285</v>
      </c>
      <c r="C145" s="23" t="n">
        <v>16</v>
      </c>
      <c r="D145" s="23" t="str">
        <f aca="false">IF(OR(AND(C145&gt;=Assumptions!$B$5,C145&lt;=Assumptions!$B$6),AND(C145&gt;=Assumptions!$B$7,C145&lt;=Assumptions!$B$8)),"Peak","Off-peak")</f>
        <v>Off-peak</v>
      </c>
      <c r="E145" s="23" t="s">
        <v>58</v>
      </c>
      <c r="F145" s="23" t="s">
        <v>82</v>
      </c>
      <c r="G145" s="23"/>
      <c r="H145" s="23" t="n">
        <v>2</v>
      </c>
      <c r="I145" s="23" t="n">
        <v>16</v>
      </c>
      <c r="J145" s="23" t="n">
        <v>1</v>
      </c>
      <c r="K145" s="23" t="n">
        <v>3</v>
      </c>
      <c r="L145" s="23" t="n">
        <v>1</v>
      </c>
      <c r="M145" s="23" t="n">
        <v>3</v>
      </c>
      <c r="N145" s="23" t="n">
        <f aca="false">IF(F145="Delivered",SUM(H145:M145),"")</f>
        <v>26</v>
      </c>
      <c r="O145" s="23" t="n">
        <v>5</v>
      </c>
      <c r="P145" s="23" t="s">
        <v>85</v>
      </c>
      <c r="Q145" s="23" t="str">
        <f aca="false">IF(F145="Delivered",IF(N145&gt;Assumptions!$B$4,"Yes","No"),"")</f>
        <v>No</v>
      </c>
    </row>
    <row r="146" customFormat="false" ht="15" hidden="false" customHeight="false" outlineLevel="0" collapsed="false">
      <c r="A146" s="23" t="s">
        <v>229</v>
      </c>
      <c r="B146" s="24" t="n">
        <v>46285</v>
      </c>
      <c r="C146" s="23" t="n">
        <v>16</v>
      </c>
      <c r="D146" s="23" t="str">
        <f aca="false">IF(OR(AND(C146&gt;=Assumptions!$B$5,C146&lt;=Assumptions!$B$6),AND(C146&gt;=Assumptions!$B$7,C146&lt;=Assumptions!$B$8)),"Peak","Off-peak")</f>
        <v>Off-peak</v>
      </c>
      <c r="E146" s="23" t="s">
        <v>64</v>
      </c>
      <c r="F146" s="23" t="s">
        <v>54</v>
      </c>
      <c r="G146" s="23" t="s">
        <v>47</v>
      </c>
      <c r="N146" s="23" t="str">
        <f aca="false">IF(F146="Delivered",SUM(H146:M146),"")</f>
        <v/>
      </c>
      <c r="Q146" s="23" t="str">
        <f aca="false">IF(F146="Delivered",IF(N146&gt;Assumptions!$B$4,"Yes","No"),"")</f>
        <v/>
      </c>
    </row>
    <row r="147" customFormat="false" ht="15" hidden="false" customHeight="false" outlineLevel="0" collapsed="false">
      <c r="A147" s="23" t="s">
        <v>230</v>
      </c>
      <c r="B147" s="24" t="n">
        <v>46285</v>
      </c>
      <c r="C147" s="23" t="n">
        <v>18</v>
      </c>
      <c r="D147" s="23" t="str">
        <f aca="false">IF(OR(AND(C147&gt;=Assumptions!$B$5,C147&lt;=Assumptions!$B$6),AND(C147&gt;=Assumptions!$B$7,C147&lt;=Assumptions!$B$8)),"Peak","Off-peak")</f>
        <v>Off-peak</v>
      </c>
      <c r="E147" s="23" t="s">
        <v>60</v>
      </c>
      <c r="F147" s="23" t="s">
        <v>82</v>
      </c>
      <c r="G147" s="23"/>
      <c r="H147" s="23" t="n">
        <v>1</v>
      </c>
      <c r="I147" s="23" t="n">
        <v>15</v>
      </c>
      <c r="J147" s="23" t="n">
        <v>6</v>
      </c>
      <c r="K147" s="23" t="n">
        <v>7</v>
      </c>
      <c r="L147" s="23" t="n">
        <v>0</v>
      </c>
      <c r="M147" s="23" t="n">
        <v>10</v>
      </c>
      <c r="N147" s="23" t="n">
        <f aca="false">IF(F147="Delivered",SUM(H147:M147),"")</f>
        <v>39</v>
      </c>
      <c r="O147" s="23" t="n">
        <v>4</v>
      </c>
      <c r="P147" s="23" t="s">
        <v>85</v>
      </c>
      <c r="Q147" s="23" t="str">
        <f aca="false">IF(F147="Delivered",IF(N147&gt;Assumptions!$B$4,"Yes","No"),"")</f>
        <v>No</v>
      </c>
    </row>
    <row r="148" customFormat="false" ht="15" hidden="false" customHeight="false" outlineLevel="0" collapsed="false">
      <c r="A148" s="23" t="s">
        <v>231</v>
      </c>
      <c r="B148" s="24" t="n">
        <v>46285</v>
      </c>
      <c r="C148" s="23" t="n">
        <v>19</v>
      </c>
      <c r="D148" s="23" t="str">
        <f aca="false">IF(OR(AND(C148&gt;=Assumptions!$B$5,C148&lt;=Assumptions!$B$6),AND(C148&gt;=Assumptions!$B$7,C148&lt;=Assumptions!$B$8)),"Peak","Off-peak")</f>
        <v>Peak</v>
      </c>
      <c r="E148" s="23" t="s">
        <v>58</v>
      </c>
      <c r="F148" s="23" t="s">
        <v>82</v>
      </c>
      <c r="G148" s="23"/>
      <c r="H148" s="23" t="n">
        <v>6</v>
      </c>
      <c r="I148" s="23" t="n">
        <v>35</v>
      </c>
      <c r="J148" s="23" t="n">
        <v>11</v>
      </c>
      <c r="K148" s="23" t="n">
        <v>3</v>
      </c>
      <c r="L148" s="23" t="n">
        <v>4</v>
      </c>
      <c r="M148" s="23" t="n">
        <v>11</v>
      </c>
      <c r="N148" s="23" t="n">
        <f aca="false">IF(F148="Delivered",SUM(H148:M148),"")</f>
        <v>70</v>
      </c>
      <c r="O148" s="23" t="n">
        <v>2</v>
      </c>
      <c r="P148" s="23" t="s">
        <v>83</v>
      </c>
      <c r="Q148" s="23" t="str">
        <f aca="false">IF(F148="Delivered",IF(N148&gt;Assumptions!$B$4,"Yes","No"),"")</f>
        <v>Yes</v>
      </c>
    </row>
    <row r="149" customFormat="false" ht="15" hidden="false" customHeight="false" outlineLevel="0" collapsed="false">
      <c r="A149" s="23" t="s">
        <v>232</v>
      </c>
      <c r="B149" s="24" t="n">
        <v>46285</v>
      </c>
      <c r="C149" s="23" t="n">
        <v>20</v>
      </c>
      <c r="D149" s="23" t="str">
        <f aca="false">IF(OR(AND(C149&gt;=Assumptions!$B$5,C149&lt;=Assumptions!$B$6),AND(C149&gt;=Assumptions!$B$7,C149&lt;=Assumptions!$B$8)),"Peak","Off-peak")</f>
        <v>Peak</v>
      </c>
      <c r="E149" s="23" t="s">
        <v>61</v>
      </c>
      <c r="F149" s="23" t="s">
        <v>82</v>
      </c>
      <c r="G149" s="23"/>
      <c r="H149" s="23" t="n">
        <v>4</v>
      </c>
      <c r="I149" s="23" t="n">
        <v>14</v>
      </c>
      <c r="J149" s="23" t="n">
        <v>9</v>
      </c>
      <c r="K149" s="23" t="n">
        <v>6</v>
      </c>
      <c r="L149" s="23" t="n">
        <v>2</v>
      </c>
      <c r="M149" s="23" t="n">
        <v>28</v>
      </c>
      <c r="N149" s="23" t="n">
        <f aca="false">IF(F149="Delivered",SUM(H149:M149),"")</f>
        <v>63</v>
      </c>
      <c r="O149" s="23" t="n">
        <v>3</v>
      </c>
      <c r="P149" s="23" t="s">
        <v>85</v>
      </c>
      <c r="Q149" s="23" t="str">
        <f aca="false">IF(F149="Delivered",IF(N149&gt;Assumptions!$B$4,"Yes","No"),"")</f>
        <v>Yes</v>
      </c>
    </row>
    <row r="150" customFormat="false" ht="15" hidden="false" customHeight="false" outlineLevel="0" collapsed="false">
      <c r="A150" s="23" t="s">
        <v>233</v>
      </c>
      <c r="B150" s="24" t="n">
        <v>46285</v>
      </c>
      <c r="C150" s="23" t="n">
        <v>23</v>
      </c>
      <c r="D150" s="23" t="str">
        <f aca="false">IF(OR(AND(C150&gt;=Assumptions!$B$5,C150&lt;=Assumptions!$B$6),AND(C150&gt;=Assumptions!$B$7,C150&lt;=Assumptions!$B$8)),"Peak","Off-peak")</f>
        <v>Off-peak</v>
      </c>
      <c r="E150" s="23" t="s">
        <v>57</v>
      </c>
      <c r="F150" s="23" t="s">
        <v>82</v>
      </c>
      <c r="G150" s="23"/>
      <c r="H150" s="23" t="n">
        <v>1</v>
      </c>
      <c r="I150" s="23" t="n">
        <v>15</v>
      </c>
      <c r="J150" s="23" t="n">
        <v>4</v>
      </c>
      <c r="K150" s="23" t="n">
        <v>6</v>
      </c>
      <c r="L150" s="23" t="n">
        <v>1</v>
      </c>
      <c r="M150" s="23" t="n">
        <v>6</v>
      </c>
      <c r="N150" s="23" t="n">
        <f aca="false">IF(F150="Delivered",SUM(H150:M150),"")</f>
        <v>33</v>
      </c>
      <c r="O150" s="23" t="n">
        <v>5</v>
      </c>
      <c r="P150" s="23" t="s">
        <v>85</v>
      </c>
      <c r="Q150" s="23" t="str">
        <f aca="false">IF(F150="Delivered",IF(N150&gt;Assumptions!$B$4,"Yes","No"),"")</f>
        <v>No</v>
      </c>
    </row>
    <row r="151" customFormat="false" ht="15" hidden="false" customHeight="false" outlineLevel="0" collapsed="false">
      <c r="A151" s="23" t="s">
        <v>234</v>
      </c>
      <c r="B151" s="24" t="n">
        <v>46286</v>
      </c>
      <c r="C151" s="23" t="n">
        <v>10</v>
      </c>
      <c r="D151" s="23" t="str">
        <f aca="false">IF(OR(AND(C151&gt;=Assumptions!$B$5,C151&lt;=Assumptions!$B$6),AND(C151&gt;=Assumptions!$B$7,C151&lt;=Assumptions!$B$8)),"Peak","Off-peak")</f>
        <v>Off-peak</v>
      </c>
      <c r="E151" s="23" t="s">
        <v>57</v>
      </c>
      <c r="F151" s="23" t="s">
        <v>82</v>
      </c>
      <c r="G151" s="23"/>
      <c r="H151" s="23" t="n">
        <v>1</v>
      </c>
      <c r="I151" s="23" t="n">
        <v>7</v>
      </c>
      <c r="J151" s="23" t="n">
        <v>1</v>
      </c>
      <c r="K151" s="23" t="n">
        <v>7</v>
      </c>
      <c r="L151" s="23" t="n">
        <v>2</v>
      </c>
      <c r="M151" s="23" t="n">
        <v>16</v>
      </c>
      <c r="N151" s="23" t="n">
        <f aca="false">IF(F151="Delivered",SUM(H151:M151),"")</f>
        <v>34</v>
      </c>
      <c r="O151" s="23" t="n">
        <v>4</v>
      </c>
      <c r="P151" s="23" t="s">
        <v>85</v>
      </c>
      <c r="Q151" s="23" t="str">
        <f aca="false">IF(F151="Delivered",IF(N151&gt;Assumptions!$B$4,"Yes","No"),"")</f>
        <v>No</v>
      </c>
    </row>
    <row r="152" customFormat="false" ht="15" hidden="false" customHeight="false" outlineLevel="0" collapsed="false">
      <c r="A152" s="23" t="s">
        <v>235</v>
      </c>
      <c r="B152" s="24" t="n">
        <v>46286</v>
      </c>
      <c r="C152" s="23" t="n">
        <v>11</v>
      </c>
      <c r="D152" s="23" t="str">
        <f aca="false">IF(OR(AND(C152&gt;=Assumptions!$B$5,C152&lt;=Assumptions!$B$6),AND(C152&gt;=Assumptions!$B$7,C152&lt;=Assumptions!$B$8)),"Peak","Off-peak")</f>
        <v>Off-peak</v>
      </c>
      <c r="E152" s="23" t="s">
        <v>60</v>
      </c>
      <c r="F152" s="23" t="s">
        <v>82</v>
      </c>
      <c r="G152" s="23"/>
      <c r="H152" s="23" t="n">
        <v>3</v>
      </c>
      <c r="I152" s="23" t="n">
        <v>15</v>
      </c>
      <c r="J152" s="23" t="n">
        <v>2</v>
      </c>
      <c r="K152" s="23" t="n">
        <v>8</v>
      </c>
      <c r="L152" s="23" t="n">
        <v>1</v>
      </c>
      <c r="M152" s="23" t="n">
        <v>9</v>
      </c>
      <c r="N152" s="23" t="n">
        <f aca="false">IF(F152="Delivered",SUM(H152:M152),"")</f>
        <v>38</v>
      </c>
      <c r="O152" s="23" t="n">
        <v>5</v>
      </c>
      <c r="P152" s="23" t="s">
        <v>85</v>
      </c>
      <c r="Q152" s="23" t="str">
        <f aca="false">IF(F152="Delivered",IF(N152&gt;Assumptions!$B$4,"Yes","No"),"")</f>
        <v>No</v>
      </c>
    </row>
    <row r="153" customFormat="false" ht="15" hidden="false" customHeight="false" outlineLevel="0" collapsed="false">
      <c r="A153" s="23" t="s">
        <v>236</v>
      </c>
      <c r="B153" s="24" t="n">
        <v>46286</v>
      </c>
      <c r="C153" s="23" t="n">
        <v>12</v>
      </c>
      <c r="D153" s="23" t="str">
        <f aca="false">IF(OR(AND(C153&gt;=Assumptions!$B$5,C153&lt;=Assumptions!$B$6),AND(C153&gt;=Assumptions!$B$7,C153&lt;=Assumptions!$B$8)),"Peak","Off-peak")</f>
        <v>Peak</v>
      </c>
      <c r="E153" s="23" t="s">
        <v>59</v>
      </c>
      <c r="F153" s="23" t="s">
        <v>54</v>
      </c>
      <c r="G153" s="23" t="s">
        <v>45</v>
      </c>
      <c r="N153" s="23" t="str">
        <f aca="false">IF(F153="Delivered",SUM(H153:M153),"")</f>
        <v/>
      </c>
      <c r="Q153" s="23" t="str">
        <f aca="false">IF(F153="Delivered",IF(N153&gt;Assumptions!$B$4,"Yes","No"),"")</f>
        <v/>
      </c>
    </row>
    <row r="154" customFormat="false" ht="15" hidden="false" customHeight="false" outlineLevel="0" collapsed="false">
      <c r="A154" s="23" t="s">
        <v>237</v>
      </c>
      <c r="B154" s="24" t="n">
        <v>46286</v>
      </c>
      <c r="C154" s="23" t="n">
        <v>12</v>
      </c>
      <c r="D154" s="23" t="str">
        <f aca="false">IF(OR(AND(C154&gt;=Assumptions!$B$5,C154&lt;=Assumptions!$B$6),AND(C154&gt;=Assumptions!$B$7,C154&lt;=Assumptions!$B$8)),"Peak","Off-peak")</f>
        <v>Peak</v>
      </c>
      <c r="E154" s="23" t="s">
        <v>64</v>
      </c>
      <c r="F154" s="23" t="s">
        <v>82</v>
      </c>
      <c r="G154" s="23"/>
      <c r="H154" s="23" t="n">
        <v>2</v>
      </c>
      <c r="I154" s="23" t="n">
        <v>17</v>
      </c>
      <c r="J154" s="23" t="n">
        <v>9</v>
      </c>
      <c r="K154" s="23" t="n">
        <v>7</v>
      </c>
      <c r="L154" s="23" t="n">
        <v>2</v>
      </c>
      <c r="M154" s="23" t="n">
        <v>15</v>
      </c>
      <c r="N154" s="23" t="n">
        <f aca="false">IF(F154="Delivered",SUM(H154:M154),"")</f>
        <v>52</v>
      </c>
      <c r="O154" s="23" t="n">
        <v>4</v>
      </c>
      <c r="P154" s="23" t="s">
        <v>85</v>
      </c>
      <c r="Q154" s="23" t="str">
        <f aca="false">IF(F154="Delivered",IF(N154&gt;Assumptions!$B$4,"Yes","No"),"")</f>
        <v>Yes</v>
      </c>
    </row>
    <row r="155" customFormat="false" ht="15" hidden="false" customHeight="false" outlineLevel="0" collapsed="false">
      <c r="A155" s="23" t="s">
        <v>238</v>
      </c>
      <c r="B155" s="24" t="n">
        <v>46286</v>
      </c>
      <c r="C155" s="23" t="n">
        <v>12</v>
      </c>
      <c r="D155" s="23" t="str">
        <f aca="false">IF(OR(AND(C155&gt;=Assumptions!$B$5,C155&lt;=Assumptions!$B$6),AND(C155&gt;=Assumptions!$B$7,C155&lt;=Assumptions!$B$8)),"Peak","Off-peak")</f>
        <v>Peak</v>
      </c>
      <c r="E155" s="23" t="s">
        <v>58</v>
      </c>
      <c r="F155" s="23" t="s">
        <v>82</v>
      </c>
      <c r="G155" s="23"/>
      <c r="H155" s="23" t="n">
        <v>5</v>
      </c>
      <c r="I155" s="23" t="n">
        <v>9</v>
      </c>
      <c r="J155" s="23" t="n">
        <v>5</v>
      </c>
      <c r="K155" s="23" t="n">
        <v>12</v>
      </c>
      <c r="L155" s="23" t="n">
        <v>6</v>
      </c>
      <c r="M155" s="23" t="n">
        <v>7</v>
      </c>
      <c r="N155" s="23" t="n">
        <f aca="false">IF(F155="Delivered",SUM(H155:M155),"")</f>
        <v>44</v>
      </c>
      <c r="O155" s="23" t="n">
        <v>4</v>
      </c>
      <c r="P155" s="23" t="s">
        <v>83</v>
      </c>
      <c r="Q155" s="23" t="str">
        <f aca="false">IF(F155="Delivered",IF(N155&gt;Assumptions!$B$4,"Yes","No"),"")</f>
        <v>No</v>
      </c>
    </row>
    <row r="156" customFormat="false" ht="15" hidden="false" customHeight="false" outlineLevel="0" collapsed="false">
      <c r="A156" s="23" t="s">
        <v>239</v>
      </c>
      <c r="B156" s="24" t="n">
        <v>46286</v>
      </c>
      <c r="C156" s="23" t="n">
        <v>13</v>
      </c>
      <c r="D156" s="23" t="str">
        <f aca="false">IF(OR(AND(C156&gt;=Assumptions!$B$5,C156&lt;=Assumptions!$B$6),AND(C156&gt;=Assumptions!$B$7,C156&lt;=Assumptions!$B$8)),"Peak","Off-peak")</f>
        <v>Peak</v>
      </c>
      <c r="E156" s="23" t="s">
        <v>61</v>
      </c>
      <c r="F156" s="23" t="s">
        <v>82</v>
      </c>
      <c r="G156" s="23"/>
      <c r="H156" s="23" t="n">
        <v>6</v>
      </c>
      <c r="I156" s="23" t="n">
        <v>21</v>
      </c>
      <c r="J156" s="23" t="n">
        <v>5</v>
      </c>
      <c r="K156" s="23" t="n">
        <v>8</v>
      </c>
      <c r="L156" s="23" t="n">
        <v>17</v>
      </c>
      <c r="M156" s="23" t="n">
        <v>9</v>
      </c>
      <c r="N156" s="23" t="n">
        <f aca="false">IF(F156="Delivered",SUM(H156:M156),"")</f>
        <v>66</v>
      </c>
      <c r="O156" s="23" t="n">
        <v>3</v>
      </c>
      <c r="P156" s="23" t="s">
        <v>85</v>
      </c>
      <c r="Q156" s="23" t="str">
        <f aca="false">IF(F156="Delivered",IF(N156&gt;Assumptions!$B$4,"Yes","No"),"")</f>
        <v>Yes</v>
      </c>
    </row>
    <row r="157" customFormat="false" ht="15" hidden="false" customHeight="false" outlineLevel="0" collapsed="false">
      <c r="A157" s="23" t="s">
        <v>240</v>
      </c>
      <c r="B157" s="24" t="n">
        <v>46286</v>
      </c>
      <c r="C157" s="23" t="n">
        <v>13</v>
      </c>
      <c r="D157" s="23" t="str">
        <f aca="false">IF(OR(AND(C157&gt;=Assumptions!$B$5,C157&lt;=Assumptions!$B$6),AND(C157&gt;=Assumptions!$B$7,C157&lt;=Assumptions!$B$8)),"Peak","Off-peak")</f>
        <v>Peak</v>
      </c>
      <c r="E157" s="23" t="s">
        <v>60</v>
      </c>
      <c r="F157" s="23" t="s">
        <v>82</v>
      </c>
      <c r="G157" s="23"/>
      <c r="H157" s="23" t="n">
        <v>5</v>
      </c>
      <c r="I157" s="23" t="n">
        <v>12</v>
      </c>
      <c r="J157" s="23" t="n">
        <v>7</v>
      </c>
      <c r="K157" s="23" t="n">
        <v>5</v>
      </c>
      <c r="L157" s="23" t="n">
        <v>6</v>
      </c>
      <c r="M157" s="23" t="n">
        <v>12</v>
      </c>
      <c r="N157" s="23" t="n">
        <f aca="false">IF(F157="Delivered",SUM(H157:M157),"")</f>
        <v>47</v>
      </c>
      <c r="O157" s="23" t="n">
        <v>4</v>
      </c>
      <c r="P157" s="23" t="s">
        <v>85</v>
      </c>
      <c r="Q157" s="23" t="str">
        <f aca="false">IF(F157="Delivered",IF(N157&gt;Assumptions!$B$4,"Yes","No"),"")</f>
        <v>Yes</v>
      </c>
    </row>
    <row r="158" customFormat="false" ht="15" hidden="false" customHeight="false" outlineLevel="0" collapsed="false">
      <c r="A158" s="23" t="s">
        <v>241</v>
      </c>
      <c r="B158" s="24" t="n">
        <v>46286</v>
      </c>
      <c r="C158" s="23" t="n">
        <v>14</v>
      </c>
      <c r="D158" s="23" t="str">
        <f aca="false">IF(OR(AND(C158&gt;=Assumptions!$B$5,C158&lt;=Assumptions!$B$6),AND(C158&gt;=Assumptions!$B$7,C158&lt;=Assumptions!$B$8)),"Peak","Off-peak")</f>
        <v>Off-peak</v>
      </c>
      <c r="E158" s="23" t="s">
        <v>61</v>
      </c>
      <c r="F158" s="23" t="s">
        <v>82</v>
      </c>
      <c r="G158" s="23"/>
      <c r="H158" s="23" t="n">
        <v>2</v>
      </c>
      <c r="I158" s="23" t="n">
        <v>14</v>
      </c>
      <c r="J158" s="23" t="n">
        <v>3</v>
      </c>
      <c r="K158" s="23" t="n">
        <v>7</v>
      </c>
      <c r="L158" s="23" t="n">
        <v>3</v>
      </c>
      <c r="M158" s="23" t="n">
        <v>10</v>
      </c>
      <c r="N158" s="23" t="n">
        <f aca="false">IF(F158="Delivered",SUM(H158:M158),"")</f>
        <v>39</v>
      </c>
      <c r="O158" s="23" t="n">
        <v>4</v>
      </c>
      <c r="P158" s="23" t="s">
        <v>85</v>
      </c>
      <c r="Q158" s="23" t="str">
        <f aca="false">IF(F158="Delivered",IF(N158&gt;Assumptions!$B$4,"Yes","No"),"")</f>
        <v>No</v>
      </c>
    </row>
    <row r="159" customFormat="false" ht="15" hidden="false" customHeight="false" outlineLevel="0" collapsed="false">
      <c r="A159" s="23" t="s">
        <v>242</v>
      </c>
      <c r="B159" s="24" t="n">
        <v>46286</v>
      </c>
      <c r="C159" s="23" t="n">
        <v>16</v>
      </c>
      <c r="D159" s="23" t="str">
        <f aca="false">IF(OR(AND(C159&gt;=Assumptions!$B$5,C159&lt;=Assumptions!$B$6),AND(C159&gt;=Assumptions!$B$7,C159&lt;=Assumptions!$B$8)),"Peak","Off-peak")</f>
        <v>Off-peak</v>
      </c>
      <c r="E159" s="23" t="s">
        <v>59</v>
      </c>
      <c r="F159" s="23" t="s">
        <v>82</v>
      </c>
      <c r="G159" s="23"/>
      <c r="H159" s="23" t="n">
        <v>2</v>
      </c>
      <c r="I159" s="23" t="n">
        <v>12</v>
      </c>
      <c r="J159" s="23" t="n">
        <v>5</v>
      </c>
      <c r="K159" s="23" t="n">
        <v>3</v>
      </c>
      <c r="L159" s="23" t="n">
        <v>1</v>
      </c>
      <c r="M159" s="23" t="n">
        <v>8</v>
      </c>
      <c r="N159" s="23" t="n">
        <f aca="false">IF(F159="Delivered",SUM(H159:M159),"")</f>
        <v>31</v>
      </c>
      <c r="O159" s="23" t="n">
        <v>4</v>
      </c>
      <c r="P159" s="23" t="s">
        <v>85</v>
      </c>
      <c r="Q159" s="23" t="str">
        <f aca="false">IF(F159="Delivered",IF(N159&gt;Assumptions!$B$4,"Yes","No"),"")</f>
        <v>No</v>
      </c>
    </row>
    <row r="160" customFormat="false" ht="15" hidden="false" customHeight="false" outlineLevel="0" collapsed="false">
      <c r="A160" s="23" t="s">
        <v>243</v>
      </c>
      <c r="B160" s="24" t="n">
        <v>46286</v>
      </c>
      <c r="C160" s="23" t="n">
        <v>17</v>
      </c>
      <c r="D160" s="23" t="str">
        <f aca="false">IF(OR(AND(C160&gt;=Assumptions!$B$5,C160&lt;=Assumptions!$B$6),AND(C160&gt;=Assumptions!$B$7,C160&lt;=Assumptions!$B$8)),"Peak","Off-peak")</f>
        <v>Off-peak</v>
      </c>
      <c r="E160" s="23" t="s">
        <v>59</v>
      </c>
      <c r="F160" s="23" t="s">
        <v>82</v>
      </c>
      <c r="G160" s="23"/>
      <c r="H160" s="23" t="n">
        <v>1</v>
      </c>
      <c r="I160" s="23" t="n">
        <v>8</v>
      </c>
      <c r="J160" s="23" t="n">
        <v>1</v>
      </c>
      <c r="K160" s="23" t="n">
        <v>4</v>
      </c>
      <c r="L160" s="23" t="n">
        <v>4</v>
      </c>
      <c r="M160" s="23" t="n">
        <v>13</v>
      </c>
      <c r="N160" s="23" t="n">
        <f aca="false">IF(F160="Delivered",SUM(H160:M160),"")</f>
        <v>31</v>
      </c>
      <c r="O160" s="23" t="n">
        <v>4</v>
      </c>
      <c r="P160" s="23" t="s">
        <v>85</v>
      </c>
      <c r="Q160" s="23" t="str">
        <f aca="false">IF(F160="Delivered",IF(N160&gt;Assumptions!$B$4,"Yes","No"),"")</f>
        <v>No</v>
      </c>
    </row>
    <row r="161" customFormat="false" ht="15" hidden="false" customHeight="false" outlineLevel="0" collapsed="false">
      <c r="A161" s="23" t="s">
        <v>244</v>
      </c>
      <c r="B161" s="24" t="n">
        <v>46286</v>
      </c>
      <c r="C161" s="23" t="n">
        <v>17</v>
      </c>
      <c r="D161" s="23" t="str">
        <f aca="false">IF(OR(AND(C161&gt;=Assumptions!$B$5,C161&lt;=Assumptions!$B$6),AND(C161&gt;=Assumptions!$B$7,C161&lt;=Assumptions!$B$8)),"Peak","Off-peak")</f>
        <v>Off-peak</v>
      </c>
      <c r="E161" s="23" t="s">
        <v>58</v>
      </c>
      <c r="F161" s="23" t="s">
        <v>82</v>
      </c>
      <c r="G161" s="23"/>
      <c r="H161" s="23" t="n">
        <v>3</v>
      </c>
      <c r="I161" s="23" t="n">
        <v>19</v>
      </c>
      <c r="J161" s="23" t="n">
        <v>3</v>
      </c>
      <c r="K161" s="23" t="n">
        <v>2</v>
      </c>
      <c r="L161" s="23" t="n">
        <v>2</v>
      </c>
      <c r="M161" s="23" t="n">
        <v>6</v>
      </c>
      <c r="N161" s="23" t="n">
        <f aca="false">IF(F161="Delivered",SUM(H161:M161),"")</f>
        <v>35</v>
      </c>
      <c r="O161" s="23" t="n">
        <v>5</v>
      </c>
      <c r="P161" s="23" t="s">
        <v>85</v>
      </c>
      <c r="Q161" s="23" t="str">
        <f aca="false">IF(F161="Delivered",IF(N161&gt;Assumptions!$B$4,"Yes","No"),"")</f>
        <v>No</v>
      </c>
    </row>
    <row r="162" customFormat="false" ht="15" hidden="false" customHeight="false" outlineLevel="0" collapsed="false">
      <c r="A162" s="23" t="s">
        <v>245</v>
      </c>
      <c r="B162" s="24" t="n">
        <v>46286</v>
      </c>
      <c r="C162" s="23" t="n">
        <v>18</v>
      </c>
      <c r="D162" s="23" t="str">
        <f aca="false">IF(OR(AND(C162&gt;=Assumptions!$B$5,C162&lt;=Assumptions!$B$6),AND(C162&gt;=Assumptions!$B$7,C162&lt;=Assumptions!$B$8)),"Peak","Off-peak")</f>
        <v>Off-peak</v>
      </c>
      <c r="E162" s="23" t="s">
        <v>60</v>
      </c>
      <c r="F162" s="23" t="s">
        <v>82</v>
      </c>
      <c r="G162" s="23"/>
      <c r="H162" s="23" t="n">
        <v>1</v>
      </c>
      <c r="I162" s="23" t="n">
        <v>4</v>
      </c>
      <c r="J162" s="23" t="n">
        <v>3</v>
      </c>
      <c r="K162" s="23" t="n">
        <v>5</v>
      </c>
      <c r="L162" s="23" t="n">
        <v>1</v>
      </c>
      <c r="M162" s="23" t="n">
        <v>5</v>
      </c>
      <c r="N162" s="23" t="n">
        <f aca="false">IF(F162="Delivered",SUM(H162:M162),"")</f>
        <v>19</v>
      </c>
      <c r="O162" s="23" t="n">
        <v>5</v>
      </c>
      <c r="P162" s="23" t="s">
        <v>85</v>
      </c>
      <c r="Q162" s="23" t="str">
        <f aca="false">IF(F162="Delivered",IF(N162&gt;Assumptions!$B$4,"Yes","No"),"")</f>
        <v>No</v>
      </c>
    </row>
    <row r="163" customFormat="false" ht="15" hidden="false" customHeight="false" outlineLevel="0" collapsed="false">
      <c r="A163" s="23" t="s">
        <v>246</v>
      </c>
      <c r="B163" s="24" t="n">
        <v>46286</v>
      </c>
      <c r="C163" s="23" t="n">
        <v>19</v>
      </c>
      <c r="D163" s="23" t="str">
        <f aca="false">IF(OR(AND(C163&gt;=Assumptions!$B$5,C163&lt;=Assumptions!$B$6),AND(C163&gt;=Assumptions!$B$7,C163&lt;=Assumptions!$B$8)),"Peak","Off-peak")</f>
        <v>Peak</v>
      </c>
      <c r="E163" s="23" t="s">
        <v>60</v>
      </c>
      <c r="F163" s="23" t="s">
        <v>82</v>
      </c>
      <c r="G163" s="23"/>
      <c r="H163" s="23" t="n">
        <v>5</v>
      </c>
      <c r="I163" s="23" t="n">
        <v>12</v>
      </c>
      <c r="J163" s="23" t="n">
        <v>9</v>
      </c>
      <c r="K163" s="23" t="n">
        <v>7</v>
      </c>
      <c r="L163" s="23" t="n">
        <v>4</v>
      </c>
      <c r="M163" s="23" t="n">
        <v>8</v>
      </c>
      <c r="N163" s="23" t="n">
        <f aca="false">IF(F163="Delivered",SUM(H163:M163),"")</f>
        <v>45</v>
      </c>
      <c r="O163" s="23" t="n">
        <v>3</v>
      </c>
      <c r="P163" s="23" t="s">
        <v>85</v>
      </c>
      <c r="Q163" s="23" t="str">
        <f aca="false">IF(F163="Delivered",IF(N163&gt;Assumptions!$B$4,"Yes","No"),"")</f>
        <v>No</v>
      </c>
    </row>
    <row r="164" customFormat="false" ht="15" hidden="false" customHeight="false" outlineLevel="0" collapsed="false">
      <c r="A164" s="23" t="s">
        <v>247</v>
      </c>
      <c r="B164" s="24" t="n">
        <v>46286</v>
      </c>
      <c r="C164" s="23" t="n">
        <v>20</v>
      </c>
      <c r="D164" s="23" t="str">
        <f aca="false">IF(OR(AND(C164&gt;=Assumptions!$B$5,C164&lt;=Assumptions!$B$6),AND(C164&gt;=Assumptions!$B$7,C164&lt;=Assumptions!$B$8)),"Peak","Off-peak")</f>
        <v>Peak</v>
      </c>
      <c r="E164" s="23" t="s">
        <v>59</v>
      </c>
      <c r="F164" s="23" t="s">
        <v>54</v>
      </c>
      <c r="G164" s="23" t="s">
        <v>45</v>
      </c>
      <c r="N164" s="23" t="str">
        <f aca="false">IF(F164="Delivered",SUM(H164:M164),"")</f>
        <v/>
      </c>
      <c r="Q164" s="23" t="str">
        <f aca="false">IF(F164="Delivered",IF(N164&gt;Assumptions!$B$4,"Yes","No"),"")</f>
        <v/>
      </c>
    </row>
    <row r="165" customFormat="false" ht="15" hidden="false" customHeight="false" outlineLevel="0" collapsed="false">
      <c r="A165" s="23" t="s">
        <v>248</v>
      </c>
      <c r="B165" s="24" t="n">
        <v>46286</v>
      </c>
      <c r="C165" s="23" t="n">
        <v>21</v>
      </c>
      <c r="D165" s="23" t="str">
        <f aca="false">IF(OR(AND(C165&gt;=Assumptions!$B$5,C165&lt;=Assumptions!$B$6),AND(C165&gt;=Assumptions!$B$7,C165&lt;=Assumptions!$B$8)),"Peak","Off-peak")</f>
        <v>Peak</v>
      </c>
      <c r="E165" s="23" t="s">
        <v>63</v>
      </c>
      <c r="F165" s="23" t="s">
        <v>82</v>
      </c>
      <c r="G165" s="23"/>
      <c r="H165" s="23" t="n">
        <v>3</v>
      </c>
      <c r="I165" s="23" t="n">
        <v>14</v>
      </c>
      <c r="J165" s="23" t="n">
        <v>2</v>
      </c>
      <c r="K165" s="23" t="n">
        <v>8</v>
      </c>
      <c r="L165" s="23" t="n">
        <v>11</v>
      </c>
      <c r="M165" s="23" t="n">
        <v>11</v>
      </c>
      <c r="N165" s="23" t="n">
        <f aca="false">IF(F165="Delivered",SUM(H165:M165),"")</f>
        <v>49</v>
      </c>
      <c r="O165" s="23" t="n">
        <v>3</v>
      </c>
      <c r="P165" s="23" t="s">
        <v>85</v>
      </c>
      <c r="Q165" s="23" t="str">
        <f aca="false">IF(F165="Delivered",IF(N165&gt;Assumptions!$B$4,"Yes","No"),"")</f>
        <v>Yes</v>
      </c>
    </row>
    <row r="166" customFormat="false" ht="15" hidden="false" customHeight="false" outlineLevel="0" collapsed="false">
      <c r="A166" s="23" t="s">
        <v>249</v>
      </c>
      <c r="B166" s="24" t="n">
        <v>46286</v>
      </c>
      <c r="C166" s="23" t="n">
        <v>21</v>
      </c>
      <c r="D166" s="23" t="str">
        <f aca="false">IF(OR(AND(C166&gt;=Assumptions!$B$5,C166&lt;=Assumptions!$B$6),AND(C166&gt;=Assumptions!$B$7,C166&lt;=Assumptions!$B$8)),"Peak","Off-peak")</f>
        <v>Peak</v>
      </c>
      <c r="E166" s="23" t="s">
        <v>63</v>
      </c>
      <c r="F166" s="23" t="s">
        <v>82</v>
      </c>
      <c r="G166" s="23"/>
      <c r="H166" s="23" t="n">
        <v>5</v>
      </c>
      <c r="I166" s="23" t="n">
        <v>27</v>
      </c>
      <c r="J166" s="23" t="n">
        <v>11</v>
      </c>
      <c r="K166" s="23" t="n">
        <v>4</v>
      </c>
      <c r="L166" s="23" t="n">
        <v>4</v>
      </c>
      <c r="M166" s="23" t="n">
        <v>12</v>
      </c>
      <c r="N166" s="23" t="n">
        <f aca="false">IF(F166="Delivered",SUM(H166:M166),"")</f>
        <v>63</v>
      </c>
      <c r="O166" s="23" t="n">
        <v>3</v>
      </c>
      <c r="P166" s="23" t="s">
        <v>85</v>
      </c>
      <c r="Q166" s="23" t="str">
        <f aca="false">IF(F166="Delivered",IF(N166&gt;Assumptions!$B$4,"Yes","No"),"")</f>
        <v>Yes</v>
      </c>
    </row>
    <row r="167" customFormat="false" ht="15" hidden="false" customHeight="false" outlineLevel="0" collapsed="false">
      <c r="A167" s="23" t="s">
        <v>250</v>
      </c>
      <c r="B167" s="24" t="n">
        <v>46286</v>
      </c>
      <c r="C167" s="23" t="n">
        <v>22</v>
      </c>
      <c r="D167" s="23" t="str">
        <f aca="false">IF(OR(AND(C167&gt;=Assumptions!$B$5,C167&lt;=Assumptions!$B$6),AND(C167&gt;=Assumptions!$B$7,C167&lt;=Assumptions!$B$8)),"Peak","Off-peak")</f>
        <v>Off-peak</v>
      </c>
      <c r="E167" s="23" t="s">
        <v>64</v>
      </c>
      <c r="F167" s="23" t="s">
        <v>82</v>
      </c>
      <c r="G167" s="23"/>
      <c r="H167" s="23" t="n">
        <v>2</v>
      </c>
      <c r="I167" s="23" t="n">
        <v>18</v>
      </c>
      <c r="J167" s="23" t="n">
        <v>7</v>
      </c>
      <c r="K167" s="23" t="n">
        <v>8</v>
      </c>
      <c r="L167" s="23" t="n">
        <v>4</v>
      </c>
      <c r="M167" s="23" t="n">
        <v>6</v>
      </c>
      <c r="N167" s="23" t="n">
        <f aca="false">IF(F167="Delivered",SUM(H167:M167),"")</f>
        <v>45</v>
      </c>
      <c r="O167" s="23" t="n">
        <v>4</v>
      </c>
      <c r="P167" s="23" t="s">
        <v>85</v>
      </c>
      <c r="Q167" s="23" t="str">
        <f aca="false">IF(F167="Delivered",IF(N167&gt;Assumptions!$B$4,"Yes","No"),"")</f>
        <v>No</v>
      </c>
    </row>
    <row r="168" customFormat="false" ht="15" hidden="false" customHeight="false" outlineLevel="0" collapsed="false">
      <c r="A168" s="23" t="s">
        <v>251</v>
      </c>
      <c r="B168" s="24" t="n">
        <v>46286</v>
      </c>
      <c r="C168" s="23" t="n">
        <v>23</v>
      </c>
      <c r="D168" s="23" t="str">
        <f aca="false">IF(OR(AND(C168&gt;=Assumptions!$B$5,C168&lt;=Assumptions!$B$6),AND(C168&gt;=Assumptions!$B$7,C168&lt;=Assumptions!$B$8)),"Peak","Off-peak")</f>
        <v>Off-peak</v>
      </c>
      <c r="E168" s="23" t="s">
        <v>59</v>
      </c>
      <c r="F168" s="23" t="s">
        <v>82</v>
      </c>
      <c r="G168" s="23"/>
      <c r="H168" s="23" t="n">
        <v>1</v>
      </c>
      <c r="I168" s="23" t="n">
        <v>10</v>
      </c>
      <c r="J168" s="23" t="n">
        <v>5</v>
      </c>
      <c r="K168" s="23" t="n">
        <v>6</v>
      </c>
      <c r="L168" s="23" t="n">
        <v>5</v>
      </c>
      <c r="M168" s="23" t="n">
        <v>5</v>
      </c>
      <c r="N168" s="23" t="n">
        <f aca="false">IF(F168="Delivered",SUM(H168:M168),"")</f>
        <v>32</v>
      </c>
      <c r="O168" s="23" t="n">
        <v>5</v>
      </c>
      <c r="P168" s="23" t="s">
        <v>85</v>
      </c>
      <c r="Q168" s="23" t="str">
        <f aca="false">IF(F168="Delivered",IF(N168&gt;Assumptions!$B$4,"Yes","No"),"")</f>
        <v>No</v>
      </c>
    </row>
    <row r="169" customFormat="false" ht="15" hidden="false" customHeight="false" outlineLevel="0" collapsed="false">
      <c r="A169" s="23" t="s">
        <v>252</v>
      </c>
      <c r="B169" s="24" t="n">
        <v>46287</v>
      </c>
      <c r="C169" s="23" t="n">
        <v>11</v>
      </c>
      <c r="D169" s="23" t="str">
        <f aca="false">IF(OR(AND(C169&gt;=Assumptions!$B$5,C169&lt;=Assumptions!$B$6),AND(C169&gt;=Assumptions!$B$7,C169&lt;=Assumptions!$B$8)),"Peak","Off-peak")</f>
        <v>Off-peak</v>
      </c>
      <c r="E169" s="23" t="s">
        <v>61</v>
      </c>
      <c r="F169" s="23" t="s">
        <v>82</v>
      </c>
      <c r="G169" s="23"/>
      <c r="H169" s="23" t="n">
        <v>1</v>
      </c>
      <c r="I169" s="23" t="n">
        <v>24</v>
      </c>
      <c r="J169" s="23" t="n">
        <v>8</v>
      </c>
      <c r="K169" s="23" t="n">
        <v>5</v>
      </c>
      <c r="L169" s="23" t="n">
        <v>2</v>
      </c>
      <c r="M169" s="23" t="n">
        <v>9</v>
      </c>
      <c r="N169" s="23" t="n">
        <f aca="false">IF(F169="Delivered",SUM(H169:M169),"")</f>
        <v>49</v>
      </c>
      <c r="O169" s="23" t="n">
        <v>5</v>
      </c>
      <c r="P169" s="23" t="s">
        <v>85</v>
      </c>
      <c r="Q169" s="23" t="str">
        <f aca="false">IF(F169="Delivered",IF(N169&gt;Assumptions!$B$4,"Yes","No"),"")</f>
        <v>Yes</v>
      </c>
    </row>
    <row r="170" customFormat="false" ht="15" hidden="false" customHeight="false" outlineLevel="0" collapsed="false">
      <c r="A170" s="23" t="s">
        <v>253</v>
      </c>
      <c r="B170" s="24" t="n">
        <v>46287</v>
      </c>
      <c r="C170" s="23" t="n">
        <v>12</v>
      </c>
      <c r="D170" s="23" t="str">
        <f aca="false">IF(OR(AND(C170&gt;=Assumptions!$B$5,C170&lt;=Assumptions!$B$6),AND(C170&gt;=Assumptions!$B$7,C170&lt;=Assumptions!$B$8)),"Peak","Off-peak")</f>
        <v>Peak</v>
      </c>
      <c r="E170" s="23" t="s">
        <v>62</v>
      </c>
      <c r="F170" s="23" t="s">
        <v>82</v>
      </c>
      <c r="G170" s="23"/>
      <c r="H170" s="23" t="n">
        <v>5</v>
      </c>
      <c r="I170" s="23" t="n">
        <v>16</v>
      </c>
      <c r="J170" s="23" t="n">
        <v>11</v>
      </c>
      <c r="K170" s="23" t="n">
        <v>14</v>
      </c>
      <c r="L170" s="23" t="n">
        <v>5</v>
      </c>
      <c r="M170" s="23" t="n">
        <v>4</v>
      </c>
      <c r="N170" s="23" t="n">
        <f aca="false">IF(F170="Delivered",SUM(H170:M170),"")</f>
        <v>55</v>
      </c>
      <c r="O170" s="23" t="n">
        <v>3</v>
      </c>
      <c r="P170" s="23" t="s">
        <v>85</v>
      </c>
      <c r="Q170" s="23" t="str">
        <f aca="false">IF(F170="Delivered",IF(N170&gt;Assumptions!$B$4,"Yes","No"),"")</f>
        <v>Yes</v>
      </c>
    </row>
    <row r="171" customFormat="false" ht="15" hidden="false" customHeight="false" outlineLevel="0" collapsed="false">
      <c r="A171" s="23" t="s">
        <v>254</v>
      </c>
      <c r="B171" s="24" t="n">
        <v>46287</v>
      </c>
      <c r="C171" s="23" t="n">
        <v>12</v>
      </c>
      <c r="D171" s="23" t="str">
        <f aca="false">IF(OR(AND(C171&gt;=Assumptions!$B$5,C171&lt;=Assumptions!$B$6),AND(C171&gt;=Assumptions!$B$7,C171&lt;=Assumptions!$B$8)),"Peak","Off-peak")</f>
        <v>Peak</v>
      </c>
      <c r="E171" s="23" t="s">
        <v>61</v>
      </c>
      <c r="F171" s="23" t="s">
        <v>82</v>
      </c>
      <c r="G171" s="23"/>
      <c r="H171" s="23" t="n">
        <v>8</v>
      </c>
      <c r="I171" s="23" t="n">
        <v>10</v>
      </c>
      <c r="J171" s="23" t="n">
        <v>9</v>
      </c>
      <c r="K171" s="23" t="n">
        <v>7</v>
      </c>
      <c r="L171" s="23" t="n">
        <v>3</v>
      </c>
      <c r="M171" s="23" t="n">
        <v>6</v>
      </c>
      <c r="N171" s="23" t="n">
        <f aca="false">IF(F171="Delivered",SUM(H171:M171),"")</f>
        <v>43</v>
      </c>
      <c r="O171" s="23" t="n">
        <v>3</v>
      </c>
      <c r="P171" s="23" t="s">
        <v>85</v>
      </c>
      <c r="Q171" s="23" t="str">
        <f aca="false">IF(F171="Delivered",IF(N171&gt;Assumptions!$B$4,"Yes","No"),"")</f>
        <v>No</v>
      </c>
    </row>
    <row r="172" customFormat="false" ht="15" hidden="false" customHeight="false" outlineLevel="0" collapsed="false">
      <c r="A172" s="23" t="s">
        <v>255</v>
      </c>
      <c r="B172" s="24" t="n">
        <v>46287</v>
      </c>
      <c r="C172" s="23" t="n">
        <v>14</v>
      </c>
      <c r="D172" s="23" t="str">
        <f aca="false">IF(OR(AND(C172&gt;=Assumptions!$B$5,C172&lt;=Assumptions!$B$6),AND(C172&gt;=Assumptions!$B$7,C172&lt;=Assumptions!$B$8)),"Peak","Off-peak")</f>
        <v>Off-peak</v>
      </c>
      <c r="E172" s="23" t="s">
        <v>61</v>
      </c>
      <c r="F172" s="23" t="s">
        <v>82</v>
      </c>
      <c r="G172" s="23"/>
      <c r="H172" s="23" t="n">
        <v>1</v>
      </c>
      <c r="I172" s="23" t="n">
        <v>19</v>
      </c>
      <c r="J172" s="23" t="n">
        <v>4</v>
      </c>
      <c r="K172" s="23" t="n">
        <v>7</v>
      </c>
      <c r="L172" s="23" t="n">
        <v>3</v>
      </c>
      <c r="M172" s="23" t="n">
        <v>11</v>
      </c>
      <c r="N172" s="23" t="n">
        <f aca="false">IF(F172="Delivered",SUM(H172:M172),"")</f>
        <v>45</v>
      </c>
      <c r="O172" s="23" t="n">
        <v>4</v>
      </c>
      <c r="P172" s="23" t="s">
        <v>85</v>
      </c>
      <c r="Q172" s="23" t="str">
        <f aca="false">IF(F172="Delivered",IF(N172&gt;Assumptions!$B$4,"Yes","No"),"")</f>
        <v>No</v>
      </c>
    </row>
    <row r="173" customFormat="false" ht="15" hidden="false" customHeight="false" outlineLevel="0" collapsed="false">
      <c r="A173" s="23" t="s">
        <v>256</v>
      </c>
      <c r="B173" s="24" t="n">
        <v>46287</v>
      </c>
      <c r="C173" s="23" t="n">
        <v>14</v>
      </c>
      <c r="D173" s="23" t="str">
        <f aca="false">IF(OR(AND(C173&gt;=Assumptions!$B$5,C173&lt;=Assumptions!$B$6),AND(C173&gt;=Assumptions!$B$7,C173&lt;=Assumptions!$B$8)),"Peak","Off-peak")</f>
        <v>Off-peak</v>
      </c>
      <c r="E173" s="23" t="s">
        <v>63</v>
      </c>
      <c r="F173" s="23" t="s">
        <v>82</v>
      </c>
      <c r="G173" s="23"/>
      <c r="H173" s="23" t="n">
        <v>2</v>
      </c>
      <c r="I173" s="23" t="n">
        <v>9</v>
      </c>
      <c r="J173" s="23" t="n">
        <v>3</v>
      </c>
      <c r="K173" s="23" t="n">
        <v>5</v>
      </c>
      <c r="L173" s="23" t="n">
        <v>2</v>
      </c>
      <c r="M173" s="23" t="n">
        <v>14</v>
      </c>
      <c r="N173" s="23" t="n">
        <f aca="false">IF(F173="Delivered",SUM(H173:M173),"")</f>
        <v>35</v>
      </c>
      <c r="O173" s="23" t="n">
        <v>5</v>
      </c>
      <c r="P173" s="23" t="s">
        <v>85</v>
      </c>
      <c r="Q173" s="23" t="str">
        <f aca="false">IF(F173="Delivered",IF(N173&gt;Assumptions!$B$4,"Yes","No"),"")</f>
        <v>No</v>
      </c>
    </row>
    <row r="174" customFormat="false" ht="15" hidden="false" customHeight="false" outlineLevel="0" collapsed="false">
      <c r="A174" s="23" t="s">
        <v>257</v>
      </c>
      <c r="B174" s="24" t="n">
        <v>46287</v>
      </c>
      <c r="C174" s="23" t="n">
        <v>14</v>
      </c>
      <c r="D174" s="23" t="str">
        <f aca="false">IF(OR(AND(C174&gt;=Assumptions!$B$5,C174&lt;=Assumptions!$B$6),AND(C174&gt;=Assumptions!$B$7,C174&lt;=Assumptions!$B$8)),"Peak","Off-peak")</f>
        <v>Off-peak</v>
      </c>
      <c r="E174" s="23" t="s">
        <v>60</v>
      </c>
      <c r="F174" s="23" t="s">
        <v>82</v>
      </c>
      <c r="G174" s="23"/>
      <c r="H174" s="23" t="n">
        <v>2</v>
      </c>
      <c r="I174" s="23" t="n">
        <v>24</v>
      </c>
      <c r="J174" s="23" t="n">
        <v>3</v>
      </c>
      <c r="K174" s="23" t="n">
        <v>5</v>
      </c>
      <c r="L174" s="23" t="n">
        <v>1</v>
      </c>
      <c r="M174" s="23" t="n">
        <v>7</v>
      </c>
      <c r="N174" s="23" t="n">
        <f aca="false">IF(F174="Delivered",SUM(H174:M174),"")</f>
        <v>42</v>
      </c>
      <c r="O174" s="23" t="n">
        <v>5</v>
      </c>
      <c r="P174" s="23" t="s">
        <v>85</v>
      </c>
      <c r="Q174" s="23" t="str">
        <f aca="false">IF(F174="Delivered",IF(N174&gt;Assumptions!$B$4,"Yes","No"),"")</f>
        <v>No</v>
      </c>
    </row>
    <row r="175" customFormat="false" ht="15" hidden="false" customHeight="false" outlineLevel="0" collapsed="false">
      <c r="A175" s="23" t="s">
        <v>258</v>
      </c>
      <c r="B175" s="24" t="n">
        <v>46287</v>
      </c>
      <c r="C175" s="23" t="n">
        <v>16</v>
      </c>
      <c r="D175" s="23" t="str">
        <f aca="false">IF(OR(AND(C175&gt;=Assumptions!$B$5,C175&lt;=Assumptions!$B$6),AND(C175&gt;=Assumptions!$B$7,C175&lt;=Assumptions!$B$8)),"Peak","Off-peak")</f>
        <v>Off-peak</v>
      </c>
      <c r="E175" s="23" t="s">
        <v>58</v>
      </c>
      <c r="F175" s="23" t="s">
        <v>82</v>
      </c>
      <c r="G175" s="23"/>
      <c r="H175" s="23" t="n">
        <v>3</v>
      </c>
      <c r="I175" s="23" t="n">
        <v>10</v>
      </c>
      <c r="J175" s="23" t="n">
        <v>3</v>
      </c>
      <c r="K175" s="23" t="n">
        <v>3</v>
      </c>
      <c r="L175" s="23" t="n">
        <v>2</v>
      </c>
      <c r="M175" s="23" t="n">
        <v>8</v>
      </c>
      <c r="N175" s="23" t="n">
        <f aca="false">IF(F175="Delivered",SUM(H175:M175),"")</f>
        <v>29</v>
      </c>
      <c r="O175" s="23" t="n">
        <v>5</v>
      </c>
      <c r="P175" s="23" t="s">
        <v>85</v>
      </c>
      <c r="Q175" s="23" t="str">
        <f aca="false">IF(F175="Delivered",IF(N175&gt;Assumptions!$B$4,"Yes","No"),"")</f>
        <v>No</v>
      </c>
    </row>
    <row r="176" customFormat="false" ht="15" hidden="false" customHeight="false" outlineLevel="0" collapsed="false">
      <c r="A176" s="23" t="s">
        <v>259</v>
      </c>
      <c r="B176" s="24" t="n">
        <v>46287</v>
      </c>
      <c r="C176" s="23" t="n">
        <v>17</v>
      </c>
      <c r="D176" s="23" t="str">
        <f aca="false">IF(OR(AND(C176&gt;=Assumptions!$B$5,C176&lt;=Assumptions!$B$6),AND(C176&gt;=Assumptions!$B$7,C176&lt;=Assumptions!$B$8)),"Peak","Off-peak")</f>
        <v>Off-peak</v>
      </c>
      <c r="E176" s="23" t="s">
        <v>59</v>
      </c>
      <c r="F176" s="23" t="s">
        <v>82</v>
      </c>
      <c r="G176" s="23"/>
      <c r="H176" s="23" t="n">
        <v>2</v>
      </c>
      <c r="I176" s="23" t="n">
        <v>14</v>
      </c>
      <c r="J176" s="23" t="n">
        <v>10</v>
      </c>
      <c r="K176" s="23" t="n">
        <v>3</v>
      </c>
      <c r="L176" s="23" t="n">
        <v>3</v>
      </c>
      <c r="M176" s="23" t="n">
        <v>4</v>
      </c>
      <c r="N176" s="23" t="n">
        <f aca="false">IF(F176="Delivered",SUM(H176:M176),"")</f>
        <v>36</v>
      </c>
      <c r="O176" s="23" t="n">
        <v>4</v>
      </c>
      <c r="P176" s="23" t="s">
        <v>85</v>
      </c>
      <c r="Q176" s="23" t="str">
        <f aca="false">IF(F176="Delivered",IF(N176&gt;Assumptions!$B$4,"Yes","No"),"")</f>
        <v>No</v>
      </c>
    </row>
    <row r="177" customFormat="false" ht="15" hidden="false" customHeight="false" outlineLevel="0" collapsed="false">
      <c r="A177" s="23" t="s">
        <v>260</v>
      </c>
      <c r="B177" s="24" t="n">
        <v>46287</v>
      </c>
      <c r="C177" s="23" t="n">
        <v>17</v>
      </c>
      <c r="D177" s="23" t="str">
        <f aca="false">IF(OR(AND(C177&gt;=Assumptions!$B$5,C177&lt;=Assumptions!$B$6),AND(C177&gt;=Assumptions!$B$7,C177&lt;=Assumptions!$B$8)),"Peak","Off-peak")</f>
        <v>Off-peak</v>
      </c>
      <c r="E177" s="23" t="s">
        <v>64</v>
      </c>
      <c r="F177" s="23" t="s">
        <v>82</v>
      </c>
      <c r="G177" s="23"/>
      <c r="H177" s="23" t="n">
        <v>2</v>
      </c>
      <c r="I177" s="23" t="n">
        <v>8</v>
      </c>
      <c r="J177" s="23" t="n">
        <v>8</v>
      </c>
      <c r="K177" s="23" t="n">
        <v>5</v>
      </c>
      <c r="L177" s="23" t="n">
        <v>1</v>
      </c>
      <c r="M177" s="23" t="n">
        <v>13</v>
      </c>
      <c r="N177" s="23" t="n">
        <f aca="false">IF(F177="Delivered",SUM(H177:M177),"")</f>
        <v>37</v>
      </c>
      <c r="O177" s="23" t="n">
        <v>5</v>
      </c>
      <c r="P177" s="23" t="s">
        <v>85</v>
      </c>
      <c r="Q177" s="23" t="str">
        <f aca="false">IF(F177="Delivered",IF(N177&gt;Assumptions!$B$4,"Yes","No"),"")</f>
        <v>No</v>
      </c>
    </row>
    <row r="178" customFormat="false" ht="15" hidden="false" customHeight="false" outlineLevel="0" collapsed="false">
      <c r="A178" s="23" t="s">
        <v>261</v>
      </c>
      <c r="B178" s="24" t="n">
        <v>46287</v>
      </c>
      <c r="C178" s="23" t="n">
        <v>17</v>
      </c>
      <c r="D178" s="23" t="str">
        <f aca="false">IF(OR(AND(C178&gt;=Assumptions!$B$5,C178&lt;=Assumptions!$B$6),AND(C178&gt;=Assumptions!$B$7,C178&lt;=Assumptions!$B$8)),"Peak","Off-peak")</f>
        <v>Off-peak</v>
      </c>
      <c r="E178" s="23" t="s">
        <v>58</v>
      </c>
      <c r="F178" s="23" t="s">
        <v>54</v>
      </c>
      <c r="G178" s="23" t="s">
        <v>45</v>
      </c>
      <c r="N178" s="23" t="str">
        <f aca="false">IF(F178="Delivered",SUM(H178:M178),"")</f>
        <v/>
      </c>
      <c r="Q178" s="23" t="str">
        <f aca="false">IF(F178="Delivered",IF(N178&gt;Assumptions!$B$4,"Yes","No"),"")</f>
        <v/>
      </c>
    </row>
    <row r="179" customFormat="false" ht="15" hidden="false" customHeight="false" outlineLevel="0" collapsed="false">
      <c r="A179" s="23" t="s">
        <v>262</v>
      </c>
      <c r="B179" s="24" t="n">
        <v>46287</v>
      </c>
      <c r="C179" s="23" t="n">
        <v>18</v>
      </c>
      <c r="D179" s="23" t="str">
        <f aca="false">IF(OR(AND(C179&gt;=Assumptions!$B$5,C179&lt;=Assumptions!$B$6),AND(C179&gt;=Assumptions!$B$7,C179&lt;=Assumptions!$B$8)),"Peak","Off-peak")</f>
        <v>Off-peak</v>
      </c>
      <c r="E179" s="23" t="s">
        <v>59</v>
      </c>
      <c r="F179" s="23" t="s">
        <v>82</v>
      </c>
      <c r="G179" s="23"/>
      <c r="H179" s="23" t="n">
        <v>3</v>
      </c>
      <c r="I179" s="23" t="n">
        <v>9</v>
      </c>
      <c r="J179" s="23" t="n">
        <v>4</v>
      </c>
      <c r="K179" s="23" t="n">
        <v>6</v>
      </c>
      <c r="L179" s="23" t="n">
        <v>1</v>
      </c>
      <c r="M179" s="23" t="n">
        <v>7</v>
      </c>
      <c r="N179" s="23" t="n">
        <f aca="false">IF(F179="Delivered",SUM(H179:M179),"")</f>
        <v>30</v>
      </c>
      <c r="O179" s="23" t="n">
        <v>5</v>
      </c>
      <c r="P179" s="23" t="s">
        <v>85</v>
      </c>
      <c r="Q179" s="23" t="str">
        <f aca="false">IF(F179="Delivered",IF(N179&gt;Assumptions!$B$4,"Yes","No"),"")</f>
        <v>No</v>
      </c>
    </row>
    <row r="180" customFormat="false" ht="15" hidden="false" customHeight="false" outlineLevel="0" collapsed="false">
      <c r="A180" s="23" t="s">
        <v>263</v>
      </c>
      <c r="B180" s="24" t="n">
        <v>46287</v>
      </c>
      <c r="C180" s="23" t="n">
        <v>18</v>
      </c>
      <c r="D180" s="23" t="str">
        <f aca="false">IF(OR(AND(C180&gt;=Assumptions!$B$5,C180&lt;=Assumptions!$B$6),AND(C180&gt;=Assumptions!$B$7,C180&lt;=Assumptions!$B$8)),"Peak","Off-peak")</f>
        <v>Off-peak</v>
      </c>
      <c r="E180" s="23" t="s">
        <v>58</v>
      </c>
      <c r="F180" s="23" t="s">
        <v>82</v>
      </c>
      <c r="G180" s="23"/>
      <c r="H180" s="23" t="n">
        <v>3</v>
      </c>
      <c r="I180" s="23" t="n">
        <v>5</v>
      </c>
      <c r="J180" s="23" t="n">
        <v>5</v>
      </c>
      <c r="K180" s="23" t="n">
        <v>7</v>
      </c>
      <c r="L180" s="23" t="n">
        <v>3</v>
      </c>
      <c r="M180" s="23" t="n">
        <v>10</v>
      </c>
      <c r="N180" s="23" t="n">
        <f aca="false">IF(F180="Delivered",SUM(H180:M180),"")</f>
        <v>33</v>
      </c>
      <c r="O180" s="23" t="n">
        <v>5</v>
      </c>
      <c r="P180" s="23" t="s">
        <v>85</v>
      </c>
      <c r="Q180" s="23" t="str">
        <f aca="false">IF(F180="Delivered",IF(N180&gt;Assumptions!$B$4,"Yes","No"),"")</f>
        <v>No</v>
      </c>
    </row>
    <row r="181" customFormat="false" ht="15" hidden="false" customHeight="false" outlineLevel="0" collapsed="false">
      <c r="A181" s="23" t="s">
        <v>264</v>
      </c>
      <c r="B181" s="24" t="n">
        <v>46287</v>
      </c>
      <c r="C181" s="23" t="n">
        <v>19</v>
      </c>
      <c r="D181" s="23" t="str">
        <f aca="false">IF(OR(AND(C181&gt;=Assumptions!$B$5,C181&lt;=Assumptions!$B$6),AND(C181&gt;=Assumptions!$B$7,C181&lt;=Assumptions!$B$8)),"Peak","Off-peak")</f>
        <v>Peak</v>
      </c>
      <c r="E181" s="23" t="s">
        <v>64</v>
      </c>
      <c r="F181" s="23" t="s">
        <v>82</v>
      </c>
      <c r="G181" s="23"/>
      <c r="H181" s="23" t="n">
        <v>2</v>
      </c>
      <c r="I181" s="23" t="n">
        <v>10</v>
      </c>
      <c r="J181" s="23" t="n">
        <v>3</v>
      </c>
      <c r="K181" s="23" t="n">
        <v>6</v>
      </c>
      <c r="L181" s="23" t="n">
        <v>3</v>
      </c>
      <c r="M181" s="23" t="n">
        <v>7</v>
      </c>
      <c r="N181" s="23" t="n">
        <f aca="false">IF(F181="Delivered",SUM(H181:M181),"")</f>
        <v>31</v>
      </c>
      <c r="O181" s="23" t="n">
        <v>5</v>
      </c>
      <c r="P181" s="23" t="s">
        <v>85</v>
      </c>
      <c r="Q181" s="23" t="str">
        <f aca="false">IF(F181="Delivered",IF(N181&gt;Assumptions!$B$4,"Yes","No"),"")</f>
        <v>No</v>
      </c>
    </row>
    <row r="182" customFormat="false" ht="15" hidden="false" customHeight="false" outlineLevel="0" collapsed="false">
      <c r="A182" s="23" t="s">
        <v>265</v>
      </c>
      <c r="B182" s="24" t="n">
        <v>46287</v>
      </c>
      <c r="C182" s="23" t="n">
        <v>19</v>
      </c>
      <c r="D182" s="23" t="str">
        <f aca="false">IF(OR(AND(C182&gt;=Assumptions!$B$5,C182&lt;=Assumptions!$B$6),AND(C182&gt;=Assumptions!$B$7,C182&lt;=Assumptions!$B$8)),"Peak","Off-peak")</f>
        <v>Peak</v>
      </c>
      <c r="E182" s="23" t="s">
        <v>60</v>
      </c>
      <c r="F182" s="23" t="s">
        <v>82</v>
      </c>
      <c r="G182" s="23"/>
      <c r="H182" s="23" t="n">
        <v>3</v>
      </c>
      <c r="I182" s="23" t="n">
        <v>18</v>
      </c>
      <c r="J182" s="23" t="n">
        <v>5</v>
      </c>
      <c r="K182" s="23" t="n">
        <v>7</v>
      </c>
      <c r="L182" s="23" t="n">
        <v>4</v>
      </c>
      <c r="M182" s="23" t="n">
        <v>10</v>
      </c>
      <c r="N182" s="23" t="n">
        <f aca="false">IF(F182="Delivered",SUM(H182:M182),"")</f>
        <v>47</v>
      </c>
      <c r="O182" s="23" t="n">
        <v>3</v>
      </c>
      <c r="P182" s="23" t="s">
        <v>85</v>
      </c>
      <c r="Q182" s="23" t="str">
        <f aca="false">IF(F182="Delivered",IF(N182&gt;Assumptions!$B$4,"Yes","No"),"")</f>
        <v>Yes</v>
      </c>
    </row>
    <row r="183" customFormat="false" ht="15" hidden="false" customHeight="false" outlineLevel="0" collapsed="false">
      <c r="A183" s="23" t="s">
        <v>266</v>
      </c>
      <c r="B183" s="24" t="n">
        <v>46287</v>
      </c>
      <c r="C183" s="23" t="n">
        <v>19</v>
      </c>
      <c r="D183" s="23" t="str">
        <f aca="false">IF(OR(AND(C183&gt;=Assumptions!$B$5,C183&lt;=Assumptions!$B$6),AND(C183&gt;=Assumptions!$B$7,C183&lt;=Assumptions!$B$8)),"Peak","Off-peak")</f>
        <v>Peak</v>
      </c>
      <c r="E183" s="23" t="s">
        <v>63</v>
      </c>
      <c r="F183" s="23" t="s">
        <v>54</v>
      </c>
      <c r="G183" s="23" t="s">
        <v>49</v>
      </c>
      <c r="N183" s="23" t="str">
        <f aca="false">IF(F183="Delivered",SUM(H183:M183),"")</f>
        <v/>
      </c>
      <c r="Q183" s="23" t="str">
        <f aca="false">IF(F183="Delivered",IF(N183&gt;Assumptions!$B$4,"Yes","No"),"")</f>
        <v/>
      </c>
    </row>
    <row r="184" customFormat="false" ht="15" hidden="false" customHeight="false" outlineLevel="0" collapsed="false">
      <c r="A184" s="23" t="s">
        <v>267</v>
      </c>
      <c r="B184" s="24" t="n">
        <v>46287</v>
      </c>
      <c r="C184" s="23" t="n">
        <v>21</v>
      </c>
      <c r="D184" s="23" t="str">
        <f aca="false">IF(OR(AND(C184&gt;=Assumptions!$B$5,C184&lt;=Assumptions!$B$6),AND(C184&gt;=Assumptions!$B$7,C184&lt;=Assumptions!$B$8)),"Peak","Off-peak")</f>
        <v>Peak</v>
      </c>
      <c r="E184" s="23" t="s">
        <v>63</v>
      </c>
      <c r="F184" s="23" t="s">
        <v>82</v>
      </c>
      <c r="G184" s="23"/>
      <c r="H184" s="23" t="n">
        <v>2</v>
      </c>
      <c r="I184" s="23" t="n">
        <v>21</v>
      </c>
      <c r="J184" s="23" t="n">
        <v>11</v>
      </c>
      <c r="K184" s="23" t="n">
        <v>4</v>
      </c>
      <c r="L184" s="23" t="n">
        <v>8</v>
      </c>
      <c r="M184" s="23" t="n">
        <v>9</v>
      </c>
      <c r="N184" s="23" t="n">
        <f aca="false">IF(F184="Delivered",SUM(H184:M184),"")</f>
        <v>55</v>
      </c>
      <c r="O184" s="23" t="n">
        <v>4</v>
      </c>
      <c r="P184" s="23" t="s">
        <v>85</v>
      </c>
      <c r="Q184" s="23" t="str">
        <f aca="false">IF(F184="Delivered",IF(N184&gt;Assumptions!$B$4,"Yes","No"),"")</f>
        <v>Yes</v>
      </c>
    </row>
    <row r="185" customFormat="false" ht="15" hidden="false" customHeight="false" outlineLevel="0" collapsed="false">
      <c r="A185" s="23" t="s">
        <v>268</v>
      </c>
      <c r="B185" s="24" t="n">
        <v>46287</v>
      </c>
      <c r="C185" s="23" t="n">
        <v>22</v>
      </c>
      <c r="D185" s="23" t="str">
        <f aca="false">IF(OR(AND(C185&gt;=Assumptions!$B$5,C185&lt;=Assumptions!$B$6),AND(C185&gt;=Assumptions!$B$7,C185&lt;=Assumptions!$B$8)),"Peak","Off-peak")</f>
        <v>Off-peak</v>
      </c>
      <c r="E185" s="23" t="s">
        <v>62</v>
      </c>
      <c r="F185" s="23" t="s">
        <v>82</v>
      </c>
      <c r="G185" s="23"/>
      <c r="H185" s="23" t="n">
        <v>2</v>
      </c>
      <c r="I185" s="23" t="n">
        <v>11</v>
      </c>
      <c r="J185" s="23" t="n">
        <v>7</v>
      </c>
      <c r="K185" s="23" t="n">
        <v>4</v>
      </c>
      <c r="L185" s="23" t="n">
        <v>2</v>
      </c>
      <c r="M185" s="23" t="n">
        <v>13</v>
      </c>
      <c r="N185" s="23" t="n">
        <f aca="false">IF(F185="Delivered",SUM(H185:M185),"")</f>
        <v>39</v>
      </c>
      <c r="O185" s="23" t="n">
        <v>5</v>
      </c>
      <c r="P185" s="23" t="s">
        <v>85</v>
      </c>
      <c r="Q185" s="23" t="str">
        <f aca="false">IF(F185="Delivered",IF(N185&gt;Assumptions!$B$4,"Yes","No"),"")</f>
        <v>No</v>
      </c>
    </row>
    <row r="186" customFormat="false" ht="15" hidden="false" customHeight="false" outlineLevel="0" collapsed="false">
      <c r="A186" s="23" t="s">
        <v>269</v>
      </c>
      <c r="B186" s="24" t="n">
        <v>46287</v>
      </c>
      <c r="C186" s="23" t="n">
        <v>23</v>
      </c>
      <c r="D186" s="23" t="str">
        <f aca="false">IF(OR(AND(C186&gt;=Assumptions!$B$5,C186&lt;=Assumptions!$B$6),AND(C186&gt;=Assumptions!$B$7,C186&lt;=Assumptions!$B$8)),"Peak","Off-peak")</f>
        <v>Off-peak</v>
      </c>
      <c r="E186" s="23" t="s">
        <v>62</v>
      </c>
      <c r="F186" s="23" t="s">
        <v>82</v>
      </c>
      <c r="G186" s="23"/>
      <c r="H186" s="23" t="n">
        <v>1</v>
      </c>
      <c r="I186" s="23" t="n">
        <v>15</v>
      </c>
      <c r="J186" s="23" t="n">
        <v>3</v>
      </c>
      <c r="K186" s="23" t="n">
        <v>3</v>
      </c>
      <c r="L186" s="23" t="n">
        <v>2</v>
      </c>
      <c r="M186" s="23" t="n">
        <v>8</v>
      </c>
      <c r="N186" s="23" t="n">
        <f aca="false">IF(F186="Delivered",SUM(H186:M186),"")</f>
        <v>32</v>
      </c>
      <c r="O186" s="23" t="n">
        <v>5</v>
      </c>
      <c r="P186" s="23" t="s">
        <v>85</v>
      </c>
      <c r="Q186" s="23" t="str">
        <f aca="false">IF(F186="Delivered",IF(N186&gt;Assumptions!$B$4,"Yes","No"),"")</f>
        <v>No</v>
      </c>
    </row>
    <row r="187" customFormat="false" ht="15" hidden="false" customHeight="false" outlineLevel="0" collapsed="false">
      <c r="A187" s="23" t="s">
        <v>270</v>
      </c>
      <c r="B187" s="24" t="n">
        <v>46288</v>
      </c>
      <c r="C187" s="23" t="n">
        <v>11</v>
      </c>
      <c r="D187" s="23" t="str">
        <f aca="false">IF(OR(AND(C187&gt;=Assumptions!$B$5,C187&lt;=Assumptions!$B$6),AND(C187&gt;=Assumptions!$B$7,C187&lt;=Assumptions!$B$8)),"Peak","Off-peak")</f>
        <v>Off-peak</v>
      </c>
      <c r="E187" s="23" t="s">
        <v>58</v>
      </c>
      <c r="F187" s="23" t="s">
        <v>82</v>
      </c>
      <c r="G187" s="23"/>
      <c r="H187" s="23" t="n">
        <v>1</v>
      </c>
      <c r="I187" s="23" t="n">
        <v>22</v>
      </c>
      <c r="J187" s="23" t="n">
        <v>4</v>
      </c>
      <c r="K187" s="23" t="n">
        <v>6</v>
      </c>
      <c r="L187" s="23" t="n">
        <v>2</v>
      </c>
      <c r="M187" s="23" t="n">
        <v>5</v>
      </c>
      <c r="N187" s="23" t="n">
        <f aca="false">IF(F187="Delivered",SUM(H187:M187),"")</f>
        <v>40</v>
      </c>
      <c r="O187" s="23" t="n">
        <v>4</v>
      </c>
      <c r="P187" s="23" t="s">
        <v>85</v>
      </c>
      <c r="Q187" s="23" t="str">
        <f aca="false">IF(F187="Delivered",IF(N187&gt;Assumptions!$B$4,"Yes","No"),"")</f>
        <v>No</v>
      </c>
    </row>
    <row r="188" customFormat="false" ht="15" hidden="false" customHeight="false" outlineLevel="0" collapsed="false">
      <c r="A188" s="23" t="s">
        <v>271</v>
      </c>
      <c r="B188" s="24" t="n">
        <v>46288</v>
      </c>
      <c r="C188" s="23" t="n">
        <v>11</v>
      </c>
      <c r="D188" s="23" t="str">
        <f aca="false">IF(OR(AND(C188&gt;=Assumptions!$B$5,C188&lt;=Assumptions!$B$6),AND(C188&gt;=Assumptions!$B$7,C188&lt;=Assumptions!$B$8)),"Peak","Off-peak")</f>
        <v>Off-peak</v>
      </c>
      <c r="E188" s="23" t="s">
        <v>64</v>
      </c>
      <c r="F188" s="23" t="s">
        <v>82</v>
      </c>
      <c r="G188" s="23"/>
      <c r="H188" s="23" t="n">
        <v>4</v>
      </c>
      <c r="I188" s="23" t="n">
        <v>14</v>
      </c>
      <c r="J188" s="23" t="n">
        <v>2</v>
      </c>
      <c r="K188" s="23" t="n">
        <v>5</v>
      </c>
      <c r="L188" s="23" t="n">
        <v>2</v>
      </c>
      <c r="M188" s="23" t="n">
        <v>6</v>
      </c>
      <c r="N188" s="23" t="n">
        <f aca="false">IF(F188="Delivered",SUM(H188:M188),"")</f>
        <v>33</v>
      </c>
      <c r="O188" s="23" t="n">
        <v>4</v>
      </c>
      <c r="P188" s="23" t="s">
        <v>85</v>
      </c>
      <c r="Q188" s="23" t="str">
        <f aca="false">IF(F188="Delivered",IF(N188&gt;Assumptions!$B$4,"Yes","No"),"")</f>
        <v>No</v>
      </c>
    </row>
    <row r="189" customFormat="false" ht="15" hidden="false" customHeight="false" outlineLevel="0" collapsed="false">
      <c r="A189" s="23" t="s">
        <v>272</v>
      </c>
      <c r="B189" s="24" t="n">
        <v>46288</v>
      </c>
      <c r="C189" s="23" t="n">
        <v>12</v>
      </c>
      <c r="D189" s="23" t="str">
        <f aca="false">IF(OR(AND(C189&gt;=Assumptions!$B$5,C189&lt;=Assumptions!$B$6),AND(C189&gt;=Assumptions!$B$7,C189&lt;=Assumptions!$B$8)),"Peak","Off-peak")</f>
        <v>Peak</v>
      </c>
      <c r="E189" s="23" t="s">
        <v>60</v>
      </c>
      <c r="F189" s="23" t="s">
        <v>54</v>
      </c>
      <c r="G189" s="23" t="s">
        <v>46</v>
      </c>
      <c r="N189" s="23" t="str">
        <f aca="false">IF(F189="Delivered",SUM(H189:M189),"")</f>
        <v/>
      </c>
      <c r="Q189" s="23" t="str">
        <f aca="false">IF(F189="Delivered",IF(N189&gt;Assumptions!$B$4,"Yes","No"),"")</f>
        <v/>
      </c>
    </row>
    <row r="190" customFormat="false" ht="15" hidden="false" customHeight="false" outlineLevel="0" collapsed="false">
      <c r="A190" s="23" t="s">
        <v>273</v>
      </c>
      <c r="B190" s="24" t="n">
        <v>46288</v>
      </c>
      <c r="C190" s="23" t="n">
        <v>13</v>
      </c>
      <c r="D190" s="23" t="str">
        <f aca="false">IF(OR(AND(C190&gt;=Assumptions!$B$5,C190&lt;=Assumptions!$B$6),AND(C190&gt;=Assumptions!$B$7,C190&lt;=Assumptions!$B$8)),"Peak","Off-peak")</f>
        <v>Peak</v>
      </c>
      <c r="E190" s="23" t="s">
        <v>63</v>
      </c>
      <c r="F190" s="23" t="s">
        <v>82</v>
      </c>
      <c r="G190" s="23"/>
      <c r="H190" s="23" t="n">
        <v>1</v>
      </c>
      <c r="I190" s="23" t="n">
        <v>6</v>
      </c>
      <c r="J190" s="23" t="n">
        <v>11</v>
      </c>
      <c r="K190" s="23" t="n">
        <v>13</v>
      </c>
      <c r="L190" s="23" t="n">
        <v>10</v>
      </c>
      <c r="M190" s="23" t="n">
        <v>7</v>
      </c>
      <c r="N190" s="23" t="n">
        <f aca="false">IF(F190="Delivered",SUM(H190:M190),"")</f>
        <v>48</v>
      </c>
      <c r="O190" s="23" t="n">
        <v>4</v>
      </c>
      <c r="P190" s="23" t="s">
        <v>85</v>
      </c>
      <c r="Q190" s="23" t="str">
        <f aca="false">IF(F190="Delivered",IF(N190&gt;Assumptions!$B$4,"Yes","No"),"")</f>
        <v>Yes</v>
      </c>
    </row>
    <row r="191" customFormat="false" ht="15" hidden="false" customHeight="false" outlineLevel="0" collapsed="false">
      <c r="A191" s="23" t="s">
        <v>274</v>
      </c>
      <c r="B191" s="24" t="n">
        <v>46288</v>
      </c>
      <c r="C191" s="23" t="n">
        <v>13</v>
      </c>
      <c r="D191" s="23" t="str">
        <f aca="false">IF(OR(AND(C191&gt;=Assumptions!$B$5,C191&lt;=Assumptions!$B$6),AND(C191&gt;=Assumptions!$B$7,C191&lt;=Assumptions!$B$8)),"Peak","Off-peak")</f>
        <v>Peak</v>
      </c>
      <c r="E191" s="23" t="s">
        <v>58</v>
      </c>
      <c r="F191" s="23" t="s">
        <v>82</v>
      </c>
      <c r="G191" s="23"/>
      <c r="H191" s="23" t="n">
        <v>2</v>
      </c>
      <c r="I191" s="23" t="n">
        <v>13</v>
      </c>
      <c r="J191" s="23" t="n">
        <v>11</v>
      </c>
      <c r="K191" s="23" t="n">
        <v>5</v>
      </c>
      <c r="L191" s="23" t="n">
        <v>6</v>
      </c>
      <c r="M191" s="23" t="n">
        <v>15</v>
      </c>
      <c r="N191" s="23" t="n">
        <f aca="false">IF(F191="Delivered",SUM(H191:M191),"")</f>
        <v>52</v>
      </c>
      <c r="O191" s="23" t="n">
        <v>4</v>
      </c>
      <c r="P191" s="23" t="s">
        <v>85</v>
      </c>
      <c r="Q191" s="23" t="str">
        <f aca="false">IF(F191="Delivered",IF(N191&gt;Assumptions!$B$4,"Yes","No"),"")</f>
        <v>Yes</v>
      </c>
    </row>
    <row r="192" customFormat="false" ht="15" hidden="false" customHeight="false" outlineLevel="0" collapsed="false">
      <c r="A192" s="23" t="s">
        <v>275</v>
      </c>
      <c r="B192" s="24" t="n">
        <v>46288</v>
      </c>
      <c r="C192" s="23" t="n">
        <v>13</v>
      </c>
      <c r="D192" s="23" t="str">
        <f aca="false">IF(OR(AND(C192&gt;=Assumptions!$B$5,C192&lt;=Assumptions!$B$6),AND(C192&gt;=Assumptions!$B$7,C192&lt;=Assumptions!$B$8)),"Peak","Off-peak")</f>
        <v>Peak</v>
      </c>
      <c r="E192" s="23" t="s">
        <v>62</v>
      </c>
      <c r="F192" s="23" t="s">
        <v>82</v>
      </c>
      <c r="G192" s="23"/>
      <c r="H192" s="23" t="n">
        <v>4</v>
      </c>
      <c r="I192" s="23" t="n">
        <v>18</v>
      </c>
      <c r="J192" s="23" t="n">
        <v>5</v>
      </c>
      <c r="K192" s="23" t="n">
        <v>7</v>
      </c>
      <c r="L192" s="23" t="n">
        <v>6</v>
      </c>
      <c r="M192" s="23" t="n">
        <v>8</v>
      </c>
      <c r="N192" s="23" t="n">
        <f aca="false">IF(F192="Delivered",SUM(H192:M192),"")</f>
        <v>48</v>
      </c>
      <c r="O192" s="23" t="n">
        <v>4</v>
      </c>
      <c r="P192" s="23" t="s">
        <v>85</v>
      </c>
      <c r="Q192" s="23" t="str">
        <f aca="false">IF(F192="Delivered",IF(N192&gt;Assumptions!$B$4,"Yes","No"),"")</f>
        <v>Yes</v>
      </c>
    </row>
    <row r="193" customFormat="false" ht="15" hidden="false" customHeight="false" outlineLevel="0" collapsed="false">
      <c r="A193" s="23" t="s">
        <v>276</v>
      </c>
      <c r="B193" s="24" t="n">
        <v>46288</v>
      </c>
      <c r="C193" s="23" t="n">
        <v>13</v>
      </c>
      <c r="D193" s="23" t="str">
        <f aca="false">IF(OR(AND(C193&gt;=Assumptions!$B$5,C193&lt;=Assumptions!$B$6),AND(C193&gt;=Assumptions!$B$7,C193&lt;=Assumptions!$B$8)),"Peak","Off-peak")</f>
        <v>Peak</v>
      </c>
      <c r="E193" s="23" t="s">
        <v>59</v>
      </c>
      <c r="F193" s="23" t="s">
        <v>82</v>
      </c>
      <c r="G193" s="23"/>
      <c r="H193" s="23" t="n">
        <v>4</v>
      </c>
      <c r="I193" s="23" t="n">
        <v>7</v>
      </c>
      <c r="J193" s="23" t="n">
        <v>9</v>
      </c>
      <c r="K193" s="23" t="n">
        <v>9</v>
      </c>
      <c r="L193" s="23" t="n">
        <v>3</v>
      </c>
      <c r="M193" s="23" t="n">
        <v>5</v>
      </c>
      <c r="N193" s="23" t="n">
        <f aca="false">IF(F193="Delivered",SUM(H193:M193),"")</f>
        <v>37</v>
      </c>
      <c r="O193" s="23" t="n">
        <v>4</v>
      </c>
      <c r="P193" s="23" t="s">
        <v>85</v>
      </c>
      <c r="Q193" s="23" t="str">
        <f aca="false">IF(F193="Delivered",IF(N193&gt;Assumptions!$B$4,"Yes","No"),"")</f>
        <v>No</v>
      </c>
    </row>
    <row r="194" customFormat="false" ht="15" hidden="false" customHeight="false" outlineLevel="0" collapsed="false">
      <c r="A194" s="23" t="s">
        <v>277</v>
      </c>
      <c r="B194" s="24" t="n">
        <v>46288</v>
      </c>
      <c r="C194" s="23" t="n">
        <v>13</v>
      </c>
      <c r="D194" s="23" t="str">
        <f aca="false">IF(OR(AND(C194&gt;=Assumptions!$B$5,C194&lt;=Assumptions!$B$6),AND(C194&gt;=Assumptions!$B$7,C194&lt;=Assumptions!$B$8)),"Peak","Off-peak")</f>
        <v>Peak</v>
      </c>
      <c r="E194" s="23" t="s">
        <v>62</v>
      </c>
      <c r="F194" s="23" t="s">
        <v>82</v>
      </c>
      <c r="G194" s="23"/>
      <c r="H194" s="23" t="n">
        <v>5</v>
      </c>
      <c r="I194" s="23" t="n">
        <v>7</v>
      </c>
      <c r="J194" s="23" t="n">
        <v>5</v>
      </c>
      <c r="K194" s="23" t="n">
        <v>8</v>
      </c>
      <c r="L194" s="23" t="n">
        <v>8</v>
      </c>
      <c r="M194" s="23" t="n">
        <v>4</v>
      </c>
      <c r="N194" s="23" t="n">
        <f aca="false">IF(F194="Delivered",SUM(H194:M194),"")</f>
        <v>37</v>
      </c>
      <c r="O194" s="23" t="n">
        <v>4</v>
      </c>
      <c r="P194" s="23" t="s">
        <v>85</v>
      </c>
      <c r="Q194" s="23" t="str">
        <f aca="false">IF(F194="Delivered",IF(N194&gt;Assumptions!$B$4,"Yes","No"),"")</f>
        <v>No</v>
      </c>
    </row>
    <row r="195" customFormat="false" ht="15" hidden="false" customHeight="false" outlineLevel="0" collapsed="false">
      <c r="A195" s="23" t="s">
        <v>278</v>
      </c>
      <c r="B195" s="24" t="n">
        <v>46288</v>
      </c>
      <c r="C195" s="23" t="n">
        <v>13</v>
      </c>
      <c r="D195" s="23" t="str">
        <f aca="false">IF(OR(AND(C195&gt;=Assumptions!$B$5,C195&lt;=Assumptions!$B$6),AND(C195&gt;=Assumptions!$B$7,C195&lt;=Assumptions!$B$8)),"Peak","Off-peak")</f>
        <v>Peak</v>
      </c>
      <c r="E195" s="23" t="s">
        <v>61</v>
      </c>
      <c r="F195" s="23" t="s">
        <v>82</v>
      </c>
      <c r="G195" s="23"/>
      <c r="H195" s="23" t="n">
        <v>2</v>
      </c>
      <c r="I195" s="23" t="n">
        <v>15</v>
      </c>
      <c r="J195" s="23" t="n">
        <v>6</v>
      </c>
      <c r="K195" s="23" t="n">
        <v>6</v>
      </c>
      <c r="L195" s="23" t="n">
        <v>2</v>
      </c>
      <c r="M195" s="23" t="n">
        <v>10</v>
      </c>
      <c r="N195" s="23" t="n">
        <f aca="false">IF(F195="Delivered",SUM(H195:M195),"")</f>
        <v>41</v>
      </c>
      <c r="O195" s="23" t="n">
        <v>4</v>
      </c>
      <c r="P195" s="23" t="s">
        <v>85</v>
      </c>
      <c r="Q195" s="23" t="str">
        <f aca="false">IF(F195="Delivered",IF(N195&gt;Assumptions!$B$4,"Yes","No"),"")</f>
        <v>No</v>
      </c>
    </row>
    <row r="196" customFormat="false" ht="15" hidden="false" customHeight="false" outlineLevel="0" collapsed="false">
      <c r="A196" s="23" t="s">
        <v>279</v>
      </c>
      <c r="B196" s="24" t="n">
        <v>46288</v>
      </c>
      <c r="C196" s="23" t="n">
        <v>14</v>
      </c>
      <c r="D196" s="23" t="str">
        <f aca="false">IF(OR(AND(C196&gt;=Assumptions!$B$5,C196&lt;=Assumptions!$B$6),AND(C196&gt;=Assumptions!$B$7,C196&lt;=Assumptions!$B$8)),"Peak","Off-peak")</f>
        <v>Off-peak</v>
      </c>
      <c r="E196" s="23" t="s">
        <v>58</v>
      </c>
      <c r="F196" s="23" t="s">
        <v>82</v>
      </c>
      <c r="G196" s="23"/>
      <c r="H196" s="23" t="n">
        <v>1</v>
      </c>
      <c r="I196" s="23" t="n">
        <v>23</v>
      </c>
      <c r="J196" s="23" t="n">
        <v>2</v>
      </c>
      <c r="K196" s="23" t="n">
        <v>4</v>
      </c>
      <c r="L196" s="23" t="n">
        <v>2</v>
      </c>
      <c r="M196" s="23" t="n">
        <v>8</v>
      </c>
      <c r="N196" s="23" t="n">
        <f aca="false">IF(F196="Delivered",SUM(H196:M196),"")</f>
        <v>40</v>
      </c>
      <c r="O196" s="23" t="n">
        <v>4</v>
      </c>
      <c r="P196" s="23" t="s">
        <v>85</v>
      </c>
      <c r="Q196" s="23" t="str">
        <f aca="false">IF(F196="Delivered",IF(N196&gt;Assumptions!$B$4,"Yes","No"),"")</f>
        <v>No</v>
      </c>
    </row>
    <row r="197" customFormat="false" ht="15" hidden="false" customHeight="false" outlineLevel="0" collapsed="false">
      <c r="A197" s="23" t="s">
        <v>280</v>
      </c>
      <c r="B197" s="24" t="n">
        <v>46288</v>
      </c>
      <c r="C197" s="23" t="n">
        <v>14</v>
      </c>
      <c r="D197" s="23" t="str">
        <f aca="false">IF(OR(AND(C197&gt;=Assumptions!$B$5,C197&lt;=Assumptions!$B$6),AND(C197&gt;=Assumptions!$B$7,C197&lt;=Assumptions!$B$8)),"Peak","Off-peak")</f>
        <v>Off-peak</v>
      </c>
      <c r="E197" s="23" t="s">
        <v>60</v>
      </c>
      <c r="F197" s="23" t="s">
        <v>82</v>
      </c>
      <c r="G197" s="23"/>
      <c r="H197" s="23" t="n">
        <v>2</v>
      </c>
      <c r="I197" s="23" t="n">
        <v>20</v>
      </c>
      <c r="J197" s="23" t="n">
        <v>4</v>
      </c>
      <c r="K197" s="23" t="n">
        <v>3</v>
      </c>
      <c r="L197" s="23" t="n">
        <v>2</v>
      </c>
      <c r="M197" s="23" t="n">
        <v>8</v>
      </c>
      <c r="N197" s="23" t="n">
        <f aca="false">IF(F197="Delivered",SUM(H197:M197),"")</f>
        <v>39</v>
      </c>
      <c r="O197" s="23" t="n">
        <v>4</v>
      </c>
      <c r="P197" s="23" t="s">
        <v>85</v>
      </c>
      <c r="Q197" s="23" t="str">
        <f aca="false">IF(F197="Delivered",IF(N197&gt;Assumptions!$B$4,"Yes","No"),"")</f>
        <v>No</v>
      </c>
    </row>
    <row r="198" customFormat="false" ht="15" hidden="false" customHeight="false" outlineLevel="0" collapsed="false">
      <c r="A198" s="23" t="s">
        <v>281</v>
      </c>
      <c r="B198" s="24" t="n">
        <v>46288</v>
      </c>
      <c r="C198" s="23" t="n">
        <v>15</v>
      </c>
      <c r="D198" s="23" t="str">
        <f aca="false">IF(OR(AND(C198&gt;=Assumptions!$B$5,C198&lt;=Assumptions!$B$6),AND(C198&gt;=Assumptions!$B$7,C198&lt;=Assumptions!$B$8)),"Peak","Off-peak")</f>
        <v>Off-peak</v>
      </c>
      <c r="E198" s="23" t="s">
        <v>58</v>
      </c>
      <c r="F198" s="23" t="s">
        <v>82</v>
      </c>
      <c r="G198" s="23"/>
      <c r="H198" s="23" t="n">
        <v>4</v>
      </c>
      <c r="I198" s="23" t="n">
        <v>12</v>
      </c>
      <c r="J198" s="23" t="n">
        <v>5</v>
      </c>
      <c r="K198" s="23" t="n">
        <v>5</v>
      </c>
      <c r="L198" s="23" t="n">
        <v>2</v>
      </c>
      <c r="M198" s="23" t="n">
        <v>6</v>
      </c>
      <c r="N198" s="23" t="n">
        <f aca="false">IF(F198="Delivered",SUM(H198:M198),"")</f>
        <v>34</v>
      </c>
      <c r="O198" s="23" t="n">
        <v>4</v>
      </c>
      <c r="P198" s="23" t="s">
        <v>85</v>
      </c>
      <c r="Q198" s="23" t="str">
        <f aca="false">IF(F198="Delivered",IF(N198&gt;Assumptions!$B$4,"Yes","No"),"")</f>
        <v>No</v>
      </c>
    </row>
    <row r="199" customFormat="false" ht="15" hidden="false" customHeight="false" outlineLevel="0" collapsed="false">
      <c r="A199" s="23" t="s">
        <v>282</v>
      </c>
      <c r="B199" s="24" t="n">
        <v>46288</v>
      </c>
      <c r="C199" s="23" t="n">
        <v>16</v>
      </c>
      <c r="D199" s="23" t="str">
        <f aca="false">IF(OR(AND(C199&gt;=Assumptions!$B$5,C199&lt;=Assumptions!$B$6),AND(C199&gt;=Assumptions!$B$7,C199&lt;=Assumptions!$B$8)),"Peak","Off-peak")</f>
        <v>Off-peak</v>
      </c>
      <c r="E199" s="23" t="s">
        <v>59</v>
      </c>
      <c r="F199" s="23" t="s">
        <v>82</v>
      </c>
      <c r="G199" s="23"/>
      <c r="H199" s="23" t="n">
        <v>1</v>
      </c>
      <c r="I199" s="23" t="n">
        <v>7</v>
      </c>
      <c r="J199" s="23" t="n">
        <v>6</v>
      </c>
      <c r="K199" s="23" t="n">
        <v>6</v>
      </c>
      <c r="L199" s="23" t="n">
        <v>1</v>
      </c>
      <c r="M199" s="23" t="n">
        <v>4</v>
      </c>
      <c r="N199" s="23" t="n">
        <f aca="false">IF(F199="Delivered",SUM(H199:M199),"")</f>
        <v>25</v>
      </c>
      <c r="O199" s="23" t="n">
        <v>5</v>
      </c>
      <c r="P199" s="23" t="s">
        <v>85</v>
      </c>
      <c r="Q199" s="23" t="str">
        <f aca="false">IF(F199="Delivered",IF(N199&gt;Assumptions!$B$4,"Yes","No"),"")</f>
        <v>No</v>
      </c>
    </row>
    <row r="200" customFormat="false" ht="15" hidden="false" customHeight="false" outlineLevel="0" collapsed="false">
      <c r="A200" s="23" t="s">
        <v>283</v>
      </c>
      <c r="B200" s="24" t="n">
        <v>46288</v>
      </c>
      <c r="C200" s="23" t="n">
        <v>17</v>
      </c>
      <c r="D200" s="23" t="str">
        <f aca="false">IF(OR(AND(C200&gt;=Assumptions!$B$5,C200&lt;=Assumptions!$B$6),AND(C200&gt;=Assumptions!$B$7,C200&lt;=Assumptions!$B$8)),"Peak","Off-peak")</f>
        <v>Off-peak</v>
      </c>
      <c r="E200" s="23" t="s">
        <v>62</v>
      </c>
      <c r="F200" s="23" t="s">
        <v>82</v>
      </c>
      <c r="G200" s="23"/>
      <c r="H200" s="23" t="n">
        <v>1</v>
      </c>
      <c r="I200" s="23" t="n">
        <v>16</v>
      </c>
      <c r="J200" s="23" t="n">
        <v>4</v>
      </c>
      <c r="K200" s="23" t="n">
        <v>6</v>
      </c>
      <c r="L200" s="23" t="n">
        <v>1</v>
      </c>
      <c r="M200" s="23" t="n">
        <v>5</v>
      </c>
      <c r="N200" s="23" t="n">
        <f aca="false">IF(F200="Delivered",SUM(H200:M200),"")</f>
        <v>33</v>
      </c>
      <c r="O200" s="23" t="n">
        <v>5</v>
      </c>
      <c r="P200" s="23" t="s">
        <v>85</v>
      </c>
      <c r="Q200" s="23" t="str">
        <f aca="false">IF(F200="Delivered",IF(N200&gt;Assumptions!$B$4,"Yes","No"),"")</f>
        <v>No</v>
      </c>
    </row>
    <row r="201" customFormat="false" ht="15" hidden="false" customHeight="false" outlineLevel="0" collapsed="false">
      <c r="A201" s="23" t="s">
        <v>284</v>
      </c>
      <c r="B201" s="24" t="n">
        <v>46288</v>
      </c>
      <c r="C201" s="23" t="n">
        <v>17</v>
      </c>
      <c r="D201" s="23" t="str">
        <f aca="false">IF(OR(AND(C201&gt;=Assumptions!$B$5,C201&lt;=Assumptions!$B$6),AND(C201&gt;=Assumptions!$B$7,C201&lt;=Assumptions!$B$8)),"Peak","Off-peak")</f>
        <v>Off-peak</v>
      </c>
      <c r="E201" s="23" t="s">
        <v>57</v>
      </c>
      <c r="F201" s="23" t="s">
        <v>82</v>
      </c>
      <c r="G201" s="23"/>
      <c r="H201" s="23" t="n">
        <v>2</v>
      </c>
      <c r="I201" s="23" t="n">
        <v>16</v>
      </c>
      <c r="J201" s="23" t="n">
        <v>4</v>
      </c>
      <c r="K201" s="23" t="n">
        <v>8</v>
      </c>
      <c r="L201" s="23" t="n">
        <v>1</v>
      </c>
      <c r="M201" s="23" t="n">
        <v>8</v>
      </c>
      <c r="N201" s="23" t="n">
        <f aca="false">IF(F201="Delivered",SUM(H201:M201),"")</f>
        <v>39</v>
      </c>
      <c r="O201" s="23" t="n">
        <v>2</v>
      </c>
      <c r="P201" s="23" t="s">
        <v>83</v>
      </c>
      <c r="Q201" s="23" t="str">
        <f aca="false">IF(F201="Delivered",IF(N201&gt;Assumptions!$B$4,"Yes","No"),"")</f>
        <v>No</v>
      </c>
    </row>
    <row r="202" customFormat="false" ht="15" hidden="false" customHeight="false" outlineLevel="0" collapsed="false">
      <c r="A202" s="23" t="s">
        <v>285</v>
      </c>
      <c r="B202" s="24" t="n">
        <v>46288</v>
      </c>
      <c r="C202" s="23" t="n">
        <v>17</v>
      </c>
      <c r="D202" s="23" t="str">
        <f aca="false">IF(OR(AND(C202&gt;=Assumptions!$B$5,C202&lt;=Assumptions!$B$6),AND(C202&gt;=Assumptions!$B$7,C202&lt;=Assumptions!$B$8)),"Peak","Off-peak")</f>
        <v>Off-peak</v>
      </c>
      <c r="E202" s="23" t="s">
        <v>58</v>
      </c>
      <c r="F202" s="23" t="s">
        <v>82</v>
      </c>
      <c r="G202" s="23"/>
      <c r="H202" s="23" t="n">
        <v>1</v>
      </c>
      <c r="I202" s="23" t="n">
        <v>10</v>
      </c>
      <c r="J202" s="23" t="n">
        <v>3</v>
      </c>
      <c r="K202" s="23" t="n">
        <v>8</v>
      </c>
      <c r="L202" s="23" t="n">
        <v>1</v>
      </c>
      <c r="M202" s="23" t="n">
        <v>6</v>
      </c>
      <c r="N202" s="23" t="n">
        <f aca="false">IF(F202="Delivered",SUM(H202:M202),"")</f>
        <v>29</v>
      </c>
      <c r="O202" s="23" t="n">
        <v>5</v>
      </c>
      <c r="P202" s="23" t="s">
        <v>85</v>
      </c>
      <c r="Q202" s="23" t="str">
        <f aca="false">IF(F202="Delivered",IF(N202&gt;Assumptions!$B$4,"Yes","No"),"")</f>
        <v>No</v>
      </c>
    </row>
    <row r="203" customFormat="false" ht="15" hidden="false" customHeight="false" outlineLevel="0" collapsed="false">
      <c r="A203" s="23" t="s">
        <v>286</v>
      </c>
      <c r="B203" s="24" t="n">
        <v>46288</v>
      </c>
      <c r="C203" s="23" t="n">
        <v>17</v>
      </c>
      <c r="D203" s="23" t="str">
        <f aca="false">IF(OR(AND(C203&gt;=Assumptions!$B$5,C203&lt;=Assumptions!$B$6),AND(C203&gt;=Assumptions!$B$7,C203&lt;=Assumptions!$B$8)),"Peak","Off-peak")</f>
        <v>Off-peak</v>
      </c>
      <c r="E203" s="23" t="s">
        <v>58</v>
      </c>
      <c r="F203" s="23" t="s">
        <v>82</v>
      </c>
      <c r="G203" s="23"/>
      <c r="H203" s="23" t="n">
        <v>1</v>
      </c>
      <c r="I203" s="23" t="n">
        <v>15</v>
      </c>
      <c r="J203" s="23" t="n">
        <v>1</v>
      </c>
      <c r="K203" s="23" t="n">
        <v>5</v>
      </c>
      <c r="L203" s="23" t="n">
        <v>3</v>
      </c>
      <c r="M203" s="23" t="n">
        <v>8</v>
      </c>
      <c r="N203" s="23" t="n">
        <f aca="false">IF(F203="Delivered",SUM(H203:M203),"")</f>
        <v>33</v>
      </c>
      <c r="O203" s="23" t="n">
        <v>5</v>
      </c>
      <c r="P203" s="23" t="s">
        <v>85</v>
      </c>
      <c r="Q203" s="23" t="str">
        <f aca="false">IF(F203="Delivered",IF(N203&gt;Assumptions!$B$4,"Yes","No"),"")</f>
        <v>No</v>
      </c>
    </row>
    <row r="204" customFormat="false" ht="15" hidden="false" customHeight="false" outlineLevel="0" collapsed="false">
      <c r="A204" s="23" t="s">
        <v>287</v>
      </c>
      <c r="B204" s="24" t="n">
        <v>46288</v>
      </c>
      <c r="C204" s="23" t="n">
        <v>18</v>
      </c>
      <c r="D204" s="23" t="str">
        <f aca="false">IF(OR(AND(C204&gt;=Assumptions!$B$5,C204&lt;=Assumptions!$B$6),AND(C204&gt;=Assumptions!$B$7,C204&lt;=Assumptions!$B$8)),"Peak","Off-peak")</f>
        <v>Off-peak</v>
      </c>
      <c r="E204" s="23" t="s">
        <v>60</v>
      </c>
      <c r="F204" s="23" t="s">
        <v>82</v>
      </c>
      <c r="G204" s="23"/>
      <c r="H204" s="23" t="n">
        <v>2</v>
      </c>
      <c r="I204" s="23" t="n">
        <v>9</v>
      </c>
      <c r="J204" s="23" t="n">
        <v>5</v>
      </c>
      <c r="K204" s="23" t="n">
        <v>7</v>
      </c>
      <c r="L204" s="23" t="n">
        <v>1</v>
      </c>
      <c r="M204" s="23" t="n">
        <v>5</v>
      </c>
      <c r="N204" s="23" t="n">
        <f aca="false">IF(F204="Delivered",SUM(H204:M204),"")</f>
        <v>29</v>
      </c>
      <c r="O204" s="23" t="n">
        <v>5</v>
      </c>
      <c r="P204" s="23" t="s">
        <v>85</v>
      </c>
      <c r="Q204" s="23" t="str">
        <f aca="false">IF(F204="Delivered",IF(N204&gt;Assumptions!$B$4,"Yes","No"),"")</f>
        <v>No</v>
      </c>
    </row>
    <row r="205" customFormat="false" ht="15" hidden="false" customHeight="false" outlineLevel="0" collapsed="false">
      <c r="A205" s="23" t="s">
        <v>288</v>
      </c>
      <c r="B205" s="24" t="n">
        <v>46288</v>
      </c>
      <c r="C205" s="23" t="n">
        <v>18</v>
      </c>
      <c r="D205" s="23" t="str">
        <f aca="false">IF(OR(AND(C205&gt;=Assumptions!$B$5,C205&lt;=Assumptions!$B$6),AND(C205&gt;=Assumptions!$B$7,C205&lt;=Assumptions!$B$8)),"Peak","Off-peak")</f>
        <v>Off-peak</v>
      </c>
      <c r="E205" s="23" t="s">
        <v>62</v>
      </c>
      <c r="F205" s="23" t="s">
        <v>82</v>
      </c>
      <c r="G205" s="23"/>
      <c r="H205" s="23" t="n">
        <v>1</v>
      </c>
      <c r="I205" s="23" t="n">
        <v>5</v>
      </c>
      <c r="J205" s="23" t="n">
        <v>3</v>
      </c>
      <c r="K205" s="23" t="n">
        <v>7</v>
      </c>
      <c r="L205" s="23" t="n">
        <v>1</v>
      </c>
      <c r="M205" s="23" t="n">
        <v>11</v>
      </c>
      <c r="N205" s="23" t="n">
        <f aca="false">IF(F205="Delivered",SUM(H205:M205),"")</f>
        <v>28</v>
      </c>
      <c r="O205" s="23" t="n">
        <v>5</v>
      </c>
      <c r="P205" s="23" t="s">
        <v>85</v>
      </c>
      <c r="Q205" s="23" t="str">
        <f aca="false">IF(F205="Delivered",IF(N205&gt;Assumptions!$B$4,"Yes","No"),"")</f>
        <v>No</v>
      </c>
    </row>
    <row r="206" customFormat="false" ht="15" hidden="false" customHeight="false" outlineLevel="0" collapsed="false">
      <c r="A206" s="23" t="s">
        <v>289</v>
      </c>
      <c r="B206" s="24" t="n">
        <v>46288</v>
      </c>
      <c r="C206" s="23" t="n">
        <v>19</v>
      </c>
      <c r="D206" s="23" t="str">
        <f aca="false">IF(OR(AND(C206&gt;=Assumptions!$B$5,C206&lt;=Assumptions!$B$6),AND(C206&gt;=Assumptions!$B$7,C206&lt;=Assumptions!$B$8)),"Peak","Off-peak")</f>
        <v>Peak</v>
      </c>
      <c r="E206" s="23" t="s">
        <v>59</v>
      </c>
      <c r="F206" s="23" t="s">
        <v>82</v>
      </c>
      <c r="G206" s="23"/>
      <c r="H206" s="23" t="n">
        <v>4</v>
      </c>
      <c r="I206" s="23" t="n">
        <v>8</v>
      </c>
      <c r="J206" s="23" t="n">
        <v>5</v>
      </c>
      <c r="K206" s="23" t="n">
        <v>9</v>
      </c>
      <c r="L206" s="23" t="n">
        <v>3</v>
      </c>
      <c r="M206" s="23" t="n">
        <v>12</v>
      </c>
      <c r="N206" s="23" t="n">
        <f aca="false">IF(F206="Delivered",SUM(H206:M206),"")</f>
        <v>41</v>
      </c>
      <c r="O206" s="23" t="n">
        <v>3</v>
      </c>
      <c r="P206" s="23" t="s">
        <v>87</v>
      </c>
      <c r="Q206" s="23" t="str">
        <f aca="false">IF(F206="Delivered",IF(N206&gt;Assumptions!$B$4,"Yes","No"),"")</f>
        <v>No</v>
      </c>
    </row>
    <row r="207" customFormat="false" ht="15" hidden="false" customHeight="false" outlineLevel="0" collapsed="false">
      <c r="A207" s="23" t="s">
        <v>290</v>
      </c>
      <c r="B207" s="24" t="n">
        <v>46288</v>
      </c>
      <c r="C207" s="23" t="n">
        <v>20</v>
      </c>
      <c r="D207" s="23" t="str">
        <f aca="false">IF(OR(AND(C207&gt;=Assumptions!$B$5,C207&lt;=Assumptions!$B$6),AND(C207&gt;=Assumptions!$B$7,C207&lt;=Assumptions!$B$8)),"Peak","Off-peak")</f>
        <v>Peak</v>
      </c>
      <c r="E207" s="23" t="s">
        <v>64</v>
      </c>
      <c r="F207" s="23" t="s">
        <v>82</v>
      </c>
      <c r="G207" s="23"/>
      <c r="H207" s="23" t="n">
        <v>7</v>
      </c>
      <c r="I207" s="23" t="n">
        <v>5</v>
      </c>
      <c r="J207" s="23" t="n">
        <v>14</v>
      </c>
      <c r="K207" s="23" t="n">
        <v>8</v>
      </c>
      <c r="L207" s="23" t="n">
        <v>12</v>
      </c>
      <c r="M207" s="23" t="n">
        <v>12</v>
      </c>
      <c r="N207" s="23" t="n">
        <f aca="false">IF(F207="Delivered",SUM(H207:M207),"")</f>
        <v>58</v>
      </c>
      <c r="O207" s="23" t="n">
        <v>3</v>
      </c>
      <c r="P207" s="23" t="s">
        <v>85</v>
      </c>
      <c r="Q207" s="23" t="str">
        <f aca="false">IF(F207="Delivered",IF(N207&gt;Assumptions!$B$4,"Yes","No"),"")</f>
        <v>Yes</v>
      </c>
    </row>
    <row r="208" customFormat="false" ht="15" hidden="false" customHeight="false" outlineLevel="0" collapsed="false">
      <c r="A208" s="23" t="s">
        <v>291</v>
      </c>
      <c r="B208" s="24" t="n">
        <v>46289</v>
      </c>
      <c r="C208" s="23" t="n">
        <v>10</v>
      </c>
      <c r="D208" s="23" t="str">
        <f aca="false">IF(OR(AND(C208&gt;=Assumptions!$B$5,C208&lt;=Assumptions!$B$6),AND(C208&gt;=Assumptions!$B$7,C208&lt;=Assumptions!$B$8)),"Peak","Off-peak")</f>
        <v>Off-peak</v>
      </c>
      <c r="E208" s="23" t="s">
        <v>64</v>
      </c>
      <c r="F208" s="23" t="s">
        <v>82</v>
      </c>
      <c r="G208" s="23"/>
      <c r="H208" s="23" t="n">
        <v>1</v>
      </c>
      <c r="I208" s="23" t="n">
        <v>23</v>
      </c>
      <c r="J208" s="23" t="n">
        <v>2</v>
      </c>
      <c r="K208" s="23" t="n">
        <v>8</v>
      </c>
      <c r="L208" s="23" t="n">
        <v>2</v>
      </c>
      <c r="M208" s="23" t="n">
        <v>6</v>
      </c>
      <c r="N208" s="23" t="n">
        <f aca="false">IF(F208="Delivered",SUM(H208:M208),"")</f>
        <v>42</v>
      </c>
      <c r="O208" s="23" t="n">
        <v>4</v>
      </c>
      <c r="P208" s="23" t="s">
        <v>85</v>
      </c>
      <c r="Q208" s="23" t="str">
        <f aca="false">IF(F208="Delivered",IF(N208&gt;Assumptions!$B$4,"Yes","No"),"")</f>
        <v>No</v>
      </c>
    </row>
    <row r="209" customFormat="false" ht="15" hidden="false" customHeight="false" outlineLevel="0" collapsed="false">
      <c r="A209" s="23" t="s">
        <v>292</v>
      </c>
      <c r="B209" s="24" t="n">
        <v>46289</v>
      </c>
      <c r="C209" s="23" t="n">
        <v>13</v>
      </c>
      <c r="D209" s="23" t="str">
        <f aca="false">IF(OR(AND(C209&gt;=Assumptions!$B$5,C209&lt;=Assumptions!$B$6),AND(C209&gt;=Assumptions!$B$7,C209&lt;=Assumptions!$B$8)),"Peak","Off-peak")</f>
        <v>Peak</v>
      </c>
      <c r="E209" s="23" t="s">
        <v>57</v>
      </c>
      <c r="F209" s="23" t="s">
        <v>82</v>
      </c>
      <c r="G209" s="23"/>
      <c r="H209" s="23" t="n">
        <v>3</v>
      </c>
      <c r="I209" s="23" t="n">
        <v>18</v>
      </c>
      <c r="J209" s="23" t="n">
        <v>4</v>
      </c>
      <c r="K209" s="23" t="n">
        <v>11</v>
      </c>
      <c r="L209" s="23" t="n">
        <v>11</v>
      </c>
      <c r="M209" s="23" t="n">
        <v>12</v>
      </c>
      <c r="N209" s="23" t="n">
        <f aca="false">IF(F209="Delivered",SUM(H209:M209),"")</f>
        <v>59</v>
      </c>
      <c r="O209" s="23" t="n">
        <v>3</v>
      </c>
      <c r="P209" s="23" t="s">
        <v>85</v>
      </c>
      <c r="Q209" s="23" t="str">
        <f aca="false">IF(F209="Delivered",IF(N209&gt;Assumptions!$B$4,"Yes","No"),"")</f>
        <v>Yes</v>
      </c>
    </row>
    <row r="210" customFormat="false" ht="15" hidden="false" customHeight="false" outlineLevel="0" collapsed="false">
      <c r="A210" s="23" t="s">
        <v>293</v>
      </c>
      <c r="B210" s="24" t="n">
        <v>46289</v>
      </c>
      <c r="C210" s="23" t="n">
        <v>14</v>
      </c>
      <c r="D210" s="23" t="str">
        <f aca="false">IF(OR(AND(C210&gt;=Assumptions!$B$5,C210&lt;=Assumptions!$B$6),AND(C210&gt;=Assumptions!$B$7,C210&lt;=Assumptions!$B$8)),"Peak","Off-peak")</f>
        <v>Off-peak</v>
      </c>
      <c r="E210" s="23" t="s">
        <v>64</v>
      </c>
      <c r="F210" s="23" t="s">
        <v>82</v>
      </c>
      <c r="G210" s="23"/>
      <c r="H210" s="23" t="n">
        <v>2</v>
      </c>
      <c r="I210" s="23" t="n">
        <v>17</v>
      </c>
      <c r="J210" s="23" t="n">
        <v>1</v>
      </c>
      <c r="K210" s="23" t="n">
        <v>3</v>
      </c>
      <c r="L210" s="23" t="n">
        <v>3</v>
      </c>
      <c r="M210" s="23" t="n">
        <v>11</v>
      </c>
      <c r="N210" s="23" t="n">
        <f aca="false">IF(F210="Delivered",SUM(H210:M210),"")</f>
        <v>37</v>
      </c>
      <c r="O210" s="23" t="n">
        <v>4</v>
      </c>
      <c r="P210" s="23" t="s">
        <v>85</v>
      </c>
      <c r="Q210" s="23" t="str">
        <f aca="false">IF(F210="Delivered",IF(N210&gt;Assumptions!$B$4,"Yes","No"),"")</f>
        <v>No</v>
      </c>
    </row>
    <row r="211" customFormat="false" ht="15" hidden="false" customHeight="false" outlineLevel="0" collapsed="false">
      <c r="A211" s="23" t="s">
        <v>294</v>
      </c>
      <c r="B211" s="24" t="n">
        <v>46289</v>
      </c>
      <c r="C211" s="23" t="n">
        <v>14</v>
      </c>
      <c r="D211" s="23" t="str">
        <f aca="false">IF(OR(AND(C211&gt;=Assumptions!$B$5,C211&lt;=Assumptions!$B$6),AND(C211&gt;=Assumptions!$B$7,C211&lt;=Assumptions!$B$8)),"Peak","Off-peak")</f>
        <v>Off-peak</v>
      </c>
      <c r="E211" s="23" t="s">
        <v>64</v>
      </c>
      <c r="F211" s="23" t="s">
        <v>82</v>
      </c>
      <c r="G211" s="23"/>
      <c r="H211" s="23" t="n">
        <v>1</v>
      </c>
      <c r="I211" s="23" t="n">
        <v>19</v>
      </c>
      <c r="J211" s="23" t="n">
        <v>3</v>
      </c>
      <c r="K211" s="23" t="n">
        <v>7</v>
      </c>
      <c r="L211" s="23" t="n">
        <v>1</v>
      </c>
      <c r="M211" s="23" t="n">
        <v>17</v>
      </c>
      <c r="N211" s="23" t="n">
        <f aca="false">IF(F211="Delivered",SUM(H211:M211),"")</f>
        <v>48</v>
      </c>
      <c r="O211" s="23" t="n">
        <v>4</v>
      </c>
      <c r="P211" s="23" t="s">
        <v>85</v>
      </c>
      <c r="Q211" s="23" t="str">
        <f aca="false">IF(F211="Delivered",IF(N211&gt;Assumptions!$B$4,"Yes","No"),"")</f>
        <v>Yes</v>
      </c>
    </row>
    <row r="212" customFormat="false" ht="15" hidden="false" customHeight="false" outlineLevel="0" collapsed="false">
      <c r="A212" s="23" t="s">
        <v>295</v>
      </c>
      <c r="B212" s="24" t="n">
        <v>46289</v>
      </c>
      <c r="C212" s="23" t="n">
        <v>14</v>
      </c>
      <c r="D212" s="23" t="str">
        <f aca="false">IF(OR(AND(C212&gt;=Assumptions!$B$5,C212&lt;=Assumptions!$B$6),AND(C212&gt;=Assumptions!$B$7,C212&lt;=Assumptions!$B$8)),"Peak","Off-peak")</f>
        <v>Off-peak</v>
      </c>
      <c r="E212" s="23" t="s">
        <v>59</v>
      </c>
      <c r="F212" s="23" t="s">
        <v>82</v>
      </c>
      <c r="G212" s="23"/>
      <c r="H212" s="23" t="n">
        <v>2</v>
      </c>
      <c r="I212" s="23" t="n">
        <v>10</v>
      </c>
      <c r="J212" s="23" t="n">
        <v>7</v>
      </c>
      <c r="K212" s="23" t="n">
        <v>5</v>
      </c>
      <c r="L212" s="23" t="n">
        <v>2</v>
      </c>
      <c r="M212" s="23" t="n">
        <v>11</v>
      </c>
      <c r="N212" s="23" t="n">
        <f aca="false">IF(F212="Delivered",SUM(H212:M212),"")</f>
        <v>37</v>
      </c>
      <c r="O212" s="23" t="n">
        <v>4</v>
      </c>
      <c r="P212" s="23" t="s">
        <v>85</v>
      </c>
      <c r="Q212" s="23" t="str">
        <f aca="false">IF(F212="Delivered",IF(N212&gt;Assumptions!$B$4,"Yes","No"),"")</f>
        <v>No</v>
      </c>
    </row>
    <row r="213" customFormat="false" ht="15" hidden="false" customHeight="false" outlineLevel="0" collapsed="false">
      <c r="A213" s="23" t="s">
        <v>296</v>
      </c>
      <c r="B213" s="24" t="n">
        <v>46289</v>
      </c>
      <c r="C213" s="23" t="n">
        <v>14</v>
      </c>
      <c r="D213" s="23" t="str">
        <f aca="false">IF(OR(AND(C213&gt;=Assumptions!$B$5,C213&lt;=Assumptions!$B$6),AND(C213&gt;=Assumptions!$B$7,C213&lt;=Assumptions!$B$8)),"Peak","Off-peak")</f>
        <v>Off-peak</v>
      </c>
      <c r="E213" s="23" t="s">
        <v>64</v>
      </c>
      <c r="F213" s="23" t="s">
        <v>82</v>
      </c>
      <c r="G213" s="23"/>
      <c r="H213" s="23" t="n">
        <v>5</v>
      </c>
      <c r="I213" s="23" t="n">
        <v>20</v>
      </c>
      <c r="J213" s="23" t="n">
        <v>2</v>
      </c>
      <c r="K213" s="23" t="n">
        <v>11</v>
      </c>
      <c r="L213" s="23" t="n">
        <v>1</v>
      </c>
      <c r="M213" s="23" t="n">
        <v>13</v>
      </c>
      <c r="N213" s="23" t="n">
        <f aca="false">IF(F213="Delivered",SUM(H213:M213),"")</f>
        <v>52</v>
      </c>
      <c r="O213" s="23" t="n">
        <v>3</v>
      </c>
      <c r="P213" s="23" t="s">
        <v>85</v>
      </c>
      <c r="Q213" s="23" t="str">
        <f aca="false">IF(F213="Delivered",IF(N213&gt;Assumptions!$B$4,"Yes","No"),"")</f>
        <v>Yes</v>
      </c>
    </row>
    <row r="214" customFormat="false" ht="15" hidden="false" customHeight="false" outlineLevel="0" collapsed="false">
      <c r="A214" s="23" t="s">
        <v>297</v>
      </c>
      <c r="B214" s="24" t="n">
        <v>46289</v>
      </c>
      <c r="C214" s="23" t="n">
        <v>14</v>
      </c>
      <c r="D214" s="23" t="str">
        <f aca="false">IF(OR(AND(C214&gt;=Assumptions!$B$5,C214&lt;=Assumptions!$B$6),AND(C214&gt;=Assumptions!$B$7,C214&lt;=Assumptions!$B$8)),"Peak","Off-peak")</f>
        <v>Off-peak</v>
      </c>
      <c r="E214" s="23" t="s">
        <v>59</v>
      </c>
      <c r="F214" s="23" t="s">
        <v>82</v>
      </c>
      <c r="G214" s="23"/>
      <c r="H214" s="23" t="n">
        <v>1</v>
      </c>
      <c r="I214" s="23" t="n">
        <v>9</v>
      </c>
      <c r="J214" s="23" t="n">
        <v>4</v>
      </c>
      <c r="K214" s="23" t="n">
        <v>6</v>
      </c>
      <c r="L214" s="23" t="n">
        <v>2</v>
      </c>
      <c r="M214" s="23" t="n">
        <v>5</v>
      </c>
      <c r="N214" s="23" t="n">
        <f aca="false">IF(F214="Delivered",SUM(H214:M214),"")</f>
        <v>27</v>
      </c>
      <c r="O214" s="23" t="n">
        <v>5</v>
      </c>
      <c r="P214" s="23" t="s">
        <v>85</v>
      </c>
      <c r="Q214" s="23" t="str">
        <f aca="false">IF(F214="Delivered",IF(N214&gt;Assumptions!$B$4,"Yes","No"),"")</f>
        <v>No</v>
      </c>
    </row>
    <row r="215" customFormat="false" ht="15" hidden="false" customHeight="false" outlineLevel="0" collapsed="false">
      <c r="A215" s="23" t="s">
        <v>298</v>
      </c>
      <c r="B215" s="24" t="n">
        <v>46289</v>
      </c>
      <c r="C215" s="23" t="n">
        <v>16</v>
      </c>
      <c r="D215" s="23" t="str">
        <f aca="false">IF(OR(AND(C215&gt;=Assumptions!$B$5,C215&lt;=Assumptions!$B$6),AND(C215&gt;=Assumptions!$B$7,C215&lt;=Assumptions!$B$8)),"Peak","Off-peak")</f>
        <v>Off-peak</v>
      </c>
      <c r="E215" s="23" t="s">
        <v>59</v>
      </c>
      <c r="F215" s="23" t="s">
        <v>82</v>
      </c>
      <c r="G215" s="23"/>
      <c r="H215" s="23" t="n">
        <v>1</v>
      </c>
      <c r="I215" s="23" t="n">
        <v>14</v>
      </c>
      <c r="J215" s="23" t="n">
        <v>2</v>
      </c>
      <c r="K215" s="23" t="n">
        <v>7</v>
      </c>
      <c r="L215" s="23" t="n">
        <v>3</v>
      </c>
      <c r="M215" s="23" t="n">
        <v>7</v>
      </c>
      <c r="N215" s="23" t="n">
        <f aca="false">IF(F215="Delivered",SUM(H215:M215),"")</f>
        <v>34</v>
      </c>
      <c r="O215" s="23" t="n">
        <v>2</v>
      </c>
      <c r="P215" s="23" t="s">
        <v>87</v>
      </c>
      <c r="Q215" s="23" t="str">
        <f aca="false">IF(F215="Delivered",IF(N215&gt;Assumptions!$B$4,"Yes","No"),"")</f>
        <v>No</v>
      </c>
    </row>
    <row r="216" customFormat="false" ht="15" hidden="false" customHeight="false" outlineLevel="0" collapsed="false">
      <c r="A216" s="23" t="s">
        <v>299</v>
      </c>
      <c r="B216" s="24" t="n">
        <v>46289</v>
      </c>
      <c r="C216" s="23" t="n">
        <v>16</v>
      </c>
      <c r="D216" s="23" t="str">
        <f aca="false">IF(OR(AND(C216&gt;=Assumptions!$B$5,C216&lt;=Assumptions!$B$6),AND(C216&gt;=Assumptions!$B$7,C216&lt;=Assumptions!$B$8)),"Peak","Off-peak")</f>
        <v>Off-peak</v>
      </c>
      <c r="E216" s="23" t="s">
        <v>57</v>
      </c>
      <c r="F216" s="23" t="s">
        <v>54</v>
      </c>
      <c r="G216" s="23" t="s">
        <v>47</v>
      </c>
      <c r="N216" s="23" t="str">
        <f aca="false">IF(F216="Delivered",SUM(H216:M216),"")</f>
        <v/>
      </c>
      <c r="Q216" s="23" t="str">
        <f aca="false">IF(F216="Delivered",IF(N216&gt;Assumptions!$B$4,"Yes","No"),"")</f>
        <v/>
      </c>
    </row>
    <row r="217" customFormat="false" ht="15" hidden="false" customHeight="false" outlineLevel="0" collapsed="false">
      <c r="A217" s="23" t="s">
        <v>300</v>
      </c>
      <c r="B217" s="24" t="n">
        <v>46289</v>
      </c>
      <c r="C217" s="23" t="n">
        <v>16</v>
      </c>
      <c r="D217" s="23" t="str">
        <f aca="false">IF(OR(AND(C217&gt;=Assumptions!$B$5,C217&lt;=Assumptions!$B$6),AND(C217&gt;=Assumptions!$B$7,C217&lt;=Assumptions!$B$8)),"Peak","Off-peak")</f>
        <v>Off-peak</v>
      </c>
      <c r="E217" s="23" t="s">
        <v>57</v>
      </c>
      <c r="F217" s="23" t="s">
        <v>82</v>
      </c>
      <c r="G217" s="23"/>
      <c r="H217" s="23" t="n">
        <v>1</v>
      </c>
      <c r="I217" s="23" t="n">
        <v>13</v>
      </c>
      <c r="J217" s="23" t="n">
        <v>4</v>
      </c>
      <c r="K217" s="23" t="n">
        <v>4</v>
      </c>
      <c r="L217" s="23" t="n">
        <v>2</v>
      </c>
      <c r="M217" s="23" t="n">
        <v>5</v>
      </c>
      <c r="N217" s="23" t="n">
        <f aca="false">IF(F217="Delivered",SUM(H217:M217),"")</f>
        <v>29</v>
      </c>
      <c r="O217" s="23" t="n">
        <v>5</v>
      </c>
      <c r="P217" s="23" t="s">
        <v>85</v>
      </c>
      <c r="Q217" s="23" t="str">
        <f aca="false">IF(F217="Delivered",IF(N217&gt;Assumptions!$B$4,"Yes","No"),"")</f>
        <v>No</v>
      </c>
    </row>
    <row r="218" customFormat="false" ht="15" hidden="false" customHeight="false" outlineLevel="0" collapsed="false">
      <c r="A218" s="23" t="s">
        <v>301</v>
      </c>
      <c r="B218" s="24" t="n">
        <v>46289</v>
      </c>
      <c r="C218" s="23" t="n">
        <v>17</v>
      </c>
      <c r="D218" s="23" t="str">
        <f aca="false">IF(OR(AND(C218&gt;=Assumptions!$B$5,C218&lt;=Assumptions!$B$6),AND(C218&gt;=Assumptions!$B$7,C218&lt;=Assumptions!$B$8)),"Peak","Off-peak")</f>
        <v>Off-peak</v>
      </c>
      <c r="E218" s="23" t="s">
        <v>59</v>
      </c>
      <c r="F218" s="23" t="s">
        <v>54</v>
      </c>
      <c r="G218" s="23" t="s">
        <v>47</v>
      </c>
      <c r="N218" s="23" t="str">
        <f aca="false">IF(F218="Delivered",SUM(H218:M218),"")</f>
        <v/>
      </c>
      <c r="Q218" s="23" t="str">
        <f aca="false">IF(F218="Delivered",IF(N218&gt;Assumptions!$B$4,"Yes","No"),"")</f>
        <v/>
      </c>
    </row>
    <row r="219" customFormat="false" ht="15" hidden="false" customHeight="false" outlineLevel="0" collapsed="false">
      <c r="A219" s="23" t="s">
        <v>302</v>
      </c>
      <c r="B219" s="24" t="n">
        <v>46289</v>
      </c>
      <c r="C219" s="23" t="n">
        <v>18</v>
      </c>
      <c r="D219" s="23" t="str">
        <f aca="false">IF(OR(AND(C219&gt;=Assumptions!$B$5,C219&lt;=Assumptions!$B$6),AND(C219&gt;=Assumptions!$B$7,C219&lt;=Assumptions!$B$8)),"Peak","Off-peak")</f>
        <v>Off-peak</v>
      </c>
      <c r="E219" s="23" t="s">
        <v>60</v>
      </c>
      <c r="F219" s="23" t="s">
        <v>82</v>
      </c>
      <c r="G219" s="23"/>
      <c r="H219" s="23" t="n">
        <v>1</v>
      </c>
      <c r="I219" s="23" t="n">
        <v>5</v>
      </c>
      <c r="J219" s="23" t="n">
        <v>1</v>
      </c>
      <c r="K219" s="23" t="n">
        <v>6</v>
      </c>
      <c r="L219" s="23" t="n">
        <v>2</v>
      </c>
      <c r="M219" s="23" t="n">
        <v>12</v>
      </c>
      <c r="N219" s="23" t="n">
        <f aca="false">IF(F219="Delivered",SUM(H219:M219),"")</f>
        <v>27</v>
      </c>
      <c r="O219" s="23" t="n">
        <v>5</v>
      </c>
      <c r="P219" s="23" t="s">
        <v>85</v>
      </c>
      <c r="Q219" s="23" t="str">
        <f aca="false">IF(F219="Delivered",IF(N219&gt;Assumptions!$B$4,"Yes","No"),"")</f>
        <v>No</v>
      </c>
    </row>
    <row r="220" customFormat="false" ht="15" hidden="false" customHeight="false" outlineLevel="0" collapsed="false">
      <c r="A220" s="23" t="s">
        <v>303</v>
      </c>
      <c r="B220" s="24" t="n">
        <v>46289</v>
      </c>
      <c r="C220" s="23" t="n">
        <v>19</v>
      </c>
      <c r="D220" s="23" t="str">
        <f aca="false">IF(OR(AND(C220&gt;=Assumptions!$B$5,C220&lt;=Assumptions!$B$6),AND(C220&gt;=Assumptions!$B$7,C220&lt;=Assumptions!$B$8)),"Peak","Off-peak")</f>
        <v>Peak</v>
      </c>
      <c r="E220" s="23" t="s">
        <v>60</v>
      </c>
      <c r="F220" s="23" t="s">
        <v>82</v>
      </c>
      <c r="G220" s="23"/>
      <c r="H220" s="23" t="n">
        <v>3</v>
      </c>
      <c r="I220" s="23" t="n">
        <v>19</v>
      </c>
      <c r="J220" s="23" t="n">
        <v>5</v>
      </c>
      <c r="K220" s="23" t="n">
        <v>5</v>
      </c>
      <c r="L220" s="23" t="n">
        <v>7</v>
      </c>
      <c r="M220" s="23" t="n">
        <v>13</v>
      </c>
      <c r="N220" s="23" t="n">
        <f aca="false">IF(F220="Delivered",SUM(H220:M220),"")</f>
        <v>52</v>
      </c>
      <c r="O220" s="23" t="n">
        <v>3</v>
      </c>
      <c r="P220" s="23" t="s">
        <v>85</v>
      </c>
      <c r="Q220" s="23" t="str">
        <f aca="false">IF(F220="Delivered",IF(N220&gt;Assumptions!$B$4,"Yes","No"),"")</f>
        <v>Yes</v>
      </c>
    </row>
    <row r="221" customFormat="false" ht="15" hidden="false" customHeight="false" outlineLevel="0" collapsed="false">
      <c r="A221" s="23" t="s">
        <v>304</v>
      </c>
      <c r="B221" s="24" t="n">
        <v>46289</v>
      </c>
      <c r="C221" s="23" t="n">
        <v>19</v>
      </c>
      <c r="D221" s="23" t="str">
        <f aca="false">IF(OR(AND(C221&gt;=Assumptions!$B$5,C221&lt;=Assumptions!$B$6),AND(C221&gt;=Assumptions!$B$7,C221&lt;=Assumptions!$B$8)),"Peak","Off-peak")</f>
        <v>Peak</v>
      </c>
      <c r="E221" s="23" t="s">
        <v>62</v>
      </c>
      <c r="F221" s="23" t="s">
        <v>82</v>
      </c>
      <c r="G221" s="23"/>
      <c r="H221" s="23" t="n">
        <v>5</v>
      </c>
      <c r="I221" s="23" t="n">
        <v>16</v>
      </c>
      <c r="J221" s="23" t="n">
        <v>8</v>
      </c>
      <c r="K221" s="23" t="n">
        <v>8</v>
      </c>
      <c r="L221" s="23" t="n">
        <v>3</v>
      </c>
      <c r="M221" s="23" t="n">
        <v>20</v>
      </c>
      <c r="N221" s="23" t="n">
        <f aca="false">IF(F221="Delivered",SUM(H221:M221),"")</f>
        <v>60</v>
      </c>
      <c r="O221" s="23" t="n">
        <v>5</v>
      </c>
      <c r="P221" s="23" t="s">
        <v>85</v>
      </c>
      <c r="Q221" s="23" t="str">
        <f aca="false">IF(F221="Delivered",IF(N221&gt;Assumptions!$B$4,"Yes","No"),"")</f>
        <v>Yes</v>
      </c>
    </row>
    <row r="222" customFormat="false" ht="15" hidden="false" customHeight="false" outlineLevel="0" collapsed="false">
      <c r="A222" s="23" t="s">
        <v>305</v>
      </c>
      <c r="B222" s="24" t="n">
        <v>46289</v>
      </c>
      <c r="C222" s="23" t="n">
        <v>19</v>
      </c>
      <c r="D222" s="23" t="str">
        <f aca="false">IF(OR(AND(C222&gt;=Assumptions!$B$5,C222&lt;=Assumptions!$B$6),AND(C222&gt;=Assumptions!$B$7,C222&lt;=Assumptions!$B$8)),"Peak","Off-peak")</f>
        <v>Peak</v>
      </c>
      <c r="E222" s="23" t="s">
        <v>58</v>
      </c>
      <c r="F222" s="23" t="s">
        <v>82</v>
      </c>
      <c r="G222" s="23"/>
      <c r="H222" s="23" t="n">
        <v>5</v>
      </c>
      <c r="I222" s="23" t="n">
        <v>11</v>
      </c>
      <c r="J222" s="23" t="n">
        <v>3</v>
      </c>
      <c r="K222" s="23" t="n">
        <v>12</v>
      </c>
      <c r="L222" s="23" t="n">
        <v>5</v>
      </c>
      <c r="M222" s="23" t="n">
        <v>11</v>
      </c>
      <c r="N222" s="23" t="n">
        <f aca="false">IF(F222="Delivered",SUM(H222:M222),"")</f>
        <v>47</v>
      </c>
      <c r="O222" s="23" t="n">
        <v>4</v>
      </c>
      <c r="P222" s="23" t="s">
        <v>85</v>
      </c>
      <c r="Q222" s="23" t="str">
        <f aca="false">IF(F222="Delivered",IF(N222&gt;Assumptions!$B$4,"Yes","No"),"")</f>
        <v>Yes</v>
      </c>
    </row>
    <row r="223" customFormat="false" ht="15" hidden="false" customHeight="false" outlineLevel="0" collapsed="false">
      <c r="A223" s="23" t="s">
        <v>306</v>
      </c>
      <c r="B223" s="24" t="n">
        <v>46289</v>
      </c>
      <c r="C223" s="23" t="n">
        <v>20</v>
      </c>
      <c r="D223" s="23" t="str">
        <f aca="false">IF(OR(AND(C223&gt;=Assumptions!$B$5,C223&lt;=Assumptions!$B$6),AND(C223&gt;=Assumptions!$B$7,C223&lt;=Assumptions!$B$8)),"Peak","Off-peak")</f>
        <v>Peak</v>
      </c>
      <c r="E223" s="23" t="s">
        <v>62</v>
      </c>
      <c r="F223" s="23" t="s">
        <v>82</v>
      </c>
      <c r="G223" s="23"/>
      <c r="H223" s="23" t="n">
        <v>3</v>
      </c>
      <c r="I223" s="23" t="n">
        <v>12</v>
      </c>
      <c r="J223" s="23" t="n">
        <v>6</v>
      </c>
      <c r="K223" s="23" t="n">
        <v>10</v>
      </c>
      <c r="L223" s="23" t="n">
        <v>2</v>
      </c>
      <c r="M223" s="23" t="n">
        <v>16</v>
      </c>
      <c r="N223" s="23" t="n">
        <f aca="false">IF(F223="Delivered",SUM(H223:M223),"")</f>
        <v>49</v>
      </c>
      <c r="O223" s="23" t="n">
        <v>3</v>
      </c>
      <c r="P223" s="23" t="s">
        <v>85</v>
      </c>
      <c r="Q223" s="23" t="str">
        <f aca="false">IF(F223="Delivered",IF(N223&gt;Assumptions!$B$4,"Yes","No"),"")</f>
        <v>Yes</v>
      </c>
    </row>
    <row r="224" customFormat="false" ht="15" hidden="false" customHeight="false" outlineLevel="0" collapsed="false">
      <c r="A224" s="23" t="s">
        <v>307</v>
      </c>
      <c r="B224" s="24" t="n">
        <v>46289</v>
      </c>
      <c r="C224" s="23" t="n">
        <v>21</v>
      </c>
      <c r="D224" s="23" t="str">
        <f aca="false">IF(OR(AND(C224&gt;=Assumptions!$B$5,C224&lt;=Assumptions!$B$6),AND(C224&gt;=Assumptions!$B$7,C224&lt;=Assumptions!$B$8)),"Peak","Off-peak")</f>
        <v>Peak</v>
      </c>
      <c r="E224" s="23" t="s">
        <v>58</v>
      </c>
      <c r="F224" s="23" t="s">
        <v>82</v>
      </c>
      <c r="G224" s="23"/>
      <c r="H224" s="23" t="n">
        <v>4</v>
      </c>
      <c r="I224" s="23" t="n">
        <v>5</v>
      </c>
      <c r="J224" s="23" t="n">
        <v>4</v>
      </c>
      <c r="K224" s="23" t="n">
        <v>8</v>
      </c>
      <c r="L224" s="23" t="n">
        <v>4</v>
      </c>
      <c r="M224" s="23" t="n">
        <v>6</v>
      </c>
      <c r="N224" s="23" t="n">
        <f aca="false">IF(F224="Delivered",SUM(H224:M224),"")</f>
        <v>31</v>
      </c>
      <c r="O224" s="23" t="n">
        <v>4</v>
      </c>
      <c r="P224" s="23" t="s">
        <v>85</v>
      </c>
      <c r="Q224" s="23" t="str">
        <f aca="false">IF(F224="Delivered",IF(N224&gt;Assumptions!$B$4,"Yes","No"),"")</f>
        <v>No</v>
      </c>
    </row>
    <row r="225" customFormat="false" ht="15" hidden="false" customHeight="false" outlineLevel="0" collapsed="false">
      <c r="A225" s="23" t="s">
        <v>308</v>
      </c>
      <c r="B225" s="24" t="n">
        <v>46289</v>
      </c>
      <c r="C225" s="23" t="n">
        <v>21</v>
      </c>
      <c r="D225" s="23" t="str">
        <f aca="false">IF(OR(AND(C225&gt;=Assumptions!$B$5,C225&lt;=Assumptions!$B$6),AND(C225&gt;=Assumptions!$B$7,C225&lt;=Assumptions!$B$8)),"Peak","Off-peak")</f>
        <v>Peak</v>
      </c>
      <c r="E225" s="23" t="s">
        <v>62</v>
      </c>
      <c r="F225" s="23" t="s">
        <v>82</v>
      </c>
      <c r="G225" s="23"/>
      <c r="H225" s="23" t="n">
        <v>5</v>
      </c>
      <c r="I225" s="23" t="n">
        <v>18</v>
      </c>
      <c r="J225" s="23" t="n">
        <v>6</v>
      </c>
      <c r="K225" s="23" t="n">
        <v>4</v>
      </c>
      <c r="L225" s="23" t="n">
        <v>5</v>
      </c>
      <c r="M225" s="23" t="n">
        <v>10</v>
      </c>
      <c r="N225" s="23" t="n">
        <f aca="false">IF(F225="Delivered",SUM(H225:M225),"")</f>
        <v>48</v>
      </c>
      <c r="O225" s="23" t="n">
        <v>2</v>
      </c>
      <c r="P225" s="23" t="s">
        <v>87</v>
      </c>
      <c r="Q225" s="23" t="str">
        <f aca="false">IF(F225="Delivered",IF(N225&gt;Assumptions!$B$4,"Yes","No"),"")</f>
        <v>Yes</v>
      </c>
    </row>
    <row r="226" customFormat="false" ht="15" hidden="false" customHeight="false" outlineLevel="0" collapsed="false">
      <c r="A226" s="23" t="s">
        <v>309</v>
      </c>
      <c r="B226" s="24" t="n">
        <v>46289</v>
      </c>
      <c r="C226" s="23" t="n">
        <v>23</v>
      </c>
      <c r="D226" s="23" t="str">
        <f aca="false">IF(OR(AND(C226&gt;=Assumptions!$B$5,C226&lt;=Assumptions!$B$6),AND(C226&gt;=Assumptions!$B$7,C226&lt;=Assumptions!$B$8)),"Peak","Off-peak")</f>
        <v>Off-peak</v>
      </c>
      <c r="E226" s="23" t="s">
        <v>61</v>
      </c>
      <c r="F226" s="23" t="s">
        <v>82</v>
      </c>
      <c r="G226" s="23"/>
      <c r="H226" s="23" t="n">
        <v>1</v>
      </c>
      <c r="I226" s="23" t="n">
        <v>24</v>
      </c>
      <c r="J226" s="23" t="n">
        <v>2</v>
      </c>
      <c r="K226" s="23" t="n">
        <v>7</v>
      </c>
      <c r="L226" s="23" t="n">
        <v>2</v>
      </c>
      <c r="M226" s="23" t="n">
        <v>9</v>
      </c>
      <c r="N226" s="23" t="n">
        <f aca="false">IF(F226="Delivered",SUM(H226:M226),"")</f>
        <v>45</v>
      </c>
      <c r="O226" s="23" t="n">
        <v>4</v>
      </c>
      <c r="P226" s="23" t="s">
        <v>85</v>
      </c>
      <c r="Q226" s="23" t="str">
        <f aca="false">IF(F226="Delivered",IF(N226&gt;Assumptions!$B$4,"Yes","No"),"")</f>
        <v>No</v>
      </c>
    </row>
    <row r="227" customFormat="false" ht="15" hidden="false" customHeight="false" outlineLevel="0" collapsed="false">
      <c r="A227" s="23" t="s">
        <v>310</v>
      </c>
      <c r="B227" s="24" t="n">
        <v>46290</v>
      </c>
      <c r="C227" s="23" t="n">
        <v>10</v>
      </c>
      <c r="D227" s="23" t="str">
        <f aca="false">IF(OR(AND(C227&gt;=Assumptions!$B$5,C227&lt;=Assumptions!$B$6),AND(C227&gt;=Assumptions!$B$7,C227&lt;=Assumptions!$B$8)),"Peak","Off-peak")</f>
        <v>Off-peak</v>
      </c>
      <c r="E227" s="23" t="s">
        <v>57</v>
      </c>
      <c r="F227" s="23" t="s">
        <v>82</v>
      </c>
      <c r="G227" s="23"/>
      <c r="H227" s="23" t="n">
        <v>1</v>
      </c>
      <c r="I227" s="23" t="n">
        <v>6</v>
      </c>
      <c r="J227" s="23" t="n">
        <v>4</v>
      </c>
      <c r="K227" s="23" t="n">
        <v>9</v>
      </c>
      <c r="L227" s="23" t="n">
        <v>3</v>
      </c>
      <c r="M227" s="23" t="n">
        <v>6</v>
      </c>
      <c r="N227" s="23" t="n">
        <f aca="false">IF(F227="Delivered",SUM(H227:M227),"")</f>
        <v>29</v>
      </c>
      <c r="O227" s="23" t="n">
        <v>4</v>
      </c>
      <c r="P227" s="23" t="s">
        <v>85</v>
      </c>
      <c r="Q227" s="23" t="str">
        <f aca="false">IF(F227="Delivered",IF(N227&gt;Assumptions!$B$4,"Yes","No"),"")</f>
        <v>No</v>
      </c>
    </row>
    <row r="228" customFormat="false" ht="15" hidden="false" customHeight="false" outlineLevel="0" collapsed="false">
      <c r="A228" s="23" t="s">
        <v>311</v>
      </c>
      <c r="B228" s="24" t="n">
        <v>46290</v>
      </c>
      <c r="C228" s="23" t="n">
        <v>10</v>
      </c>
      <c r="D228" s="23" t="str">
        <f aca="false">IF(OR(AND(C228&gt;=Assumptions!$B$5,C228&lt;=Assumptions!$B$6),AND(C228&gt;=Assumptions!$B$7,C228&lt;=Assumptions!$B$8)),"Peak","Off-peak")</f>
        <v>Off-peak</v>
      </c>
      <c r="E228" s="23" t="s">
        <v>59</v>
      </c>
      <c r="F228" s="23" t="s">
        <v>82</v>
      </c>
      <c r="G228" s="23"/>
      <c r="H228" s="23" t="n">
        <v>1</v>
      </c>
      <c r="I228" s="23" t="n">
        <v>5</v>
      </c>
      <c r="J228" s="23" t="n">
        <v>5</v>
      </c>
      <c r="K228" s="23" t="n">
        <v>9</v>
      </c>
      <c r="L228" s="23" t="n">
        <v>5</v>
      </c>
      <c r="M228" s="23" t="n">
        <v>6</v>
      </c>
      <c r="N228" s="23" t="n">
        <f aca="false">IF(F228="Delivered",SUM(H228:M228),"")</f>
        <v>31</v>
      </c>
      <c r="O228" s="23" t="n">
        <v>4</v>
      </c>
      <c r="P228" s="23" t="s">
        <v>85</v>
      </c>
      <c r="Q228" s="23" t="str">
        <f aca="false">IF(F228="Delivered",IF(N228&gt;Assumptions!$B$4,"Yes","No"),"")</f>
        <v>No</v>
      </c>
    </row>
    <row r="229" customFormat="false" ht="15" hidden="false" customHeight="false" outlineLevel="0" collapsed="false">
      <c r="A229" s="23" t="s">
        <v>312</v>
      </c>
      <c r="B229" s="24" t="n">
        <v>46290</v>
      </c>
      <c r="C229" s="23" t="n">
        <v>11</v>
      </c>
      <c r="D229" s="23" t="str">
        <f aca="false">IF(OR(AND(C229&gt;=Assumptions!$B$5,C229&lt;=Assumptions!$B$6),AND(C229&gt;=Assumptions!$B$7,C229&lt;=Assumptions!$B$8)),"Peak","Off-peak")</f>
        <v>Off-peak</v>
      </c>
      <c r="E229" s="23" t="s">
        <v>63</v>
      </c>
      <c r="F229" s="23" t="s">
        <v>82</v>
      </c>
      <c r="G229" s="23"/>
      <c r="H229" s="23" t="n">
        <v>1</v>
      </c>
      <c r="I229" s="23" t="n">
        <v>11</v>
      </c>
      <c r="J229" s="23" t="n">
        <v>3</v>
      </c>
      <c r="K229" s="23" t="n">
        <v>8</v>
      </c>
      <c r="L229" s="23" t="n">
        <v>4</v>
      </c>
      <c r="M229" s="23" t="n">
        <v>11</v>
      </c>
      <c r="N229" s="23" t="n">
        <f aca="false">IF(F229="Delivered",SUM(H229:M229),"")</f>
        <v>38</v>
      </c>
      <c r="O229" s="23" t="n">
        <v>4</v>
      </c>
      <c r="P229" s="23" t="s">
        <v>83</v>
      </c>
      <c r="Q229" s="23" t="str">
        <f aca="false">IF(F229="Delivered",IF(N229&gt;Assumptions!$B$4,"Yes","No"),"")</f>
        <v>No</v>
      </c>
    </row>
    <row r="230" customFormat="false" ht="15" hidden="false" customHeight="false" outlineLevel="0" collapsed="false">
      <c r="A230" s="23" t="s">
        <v>313</v>
      </c>
      <c r="B230" s="24" t="n">
        <v>46290</v>
      </c>
      <c r="C230" s="23" t="n">
        <v>12</v>
      </c>
      <c r="D230" s="23" t="str">
        <f aca="false">IF(OR(AND(C230&gt;=Assumptions!$B$5,C230&lt;=Assumptions!$B$6),AND(C230&gt;=Assumptions!$B$7,C230&lt;=Assumptions!$B$8)),"Peak","Off-peak")</f>
        <v>Peak</v>
      </c>
      <c r="E230" s="23" t="s">
        <v>57</v>
      </c>
      <c r="F230" s="23" t="s">
        <v>82</v>
      </c>
      <c r="G230" s="23"/>
      <c r="H230" s="23" t="n">
        <v>9</v>
      </c>
      <c r="I230" s="23" t="n">
        <v>13</v>
      </c>
      <c r="J230" s="23" t="n">
        <v>6</v>
      </c>
      <c r="K230" s="23" t="n">
        <v>5</v>
      </c>
      <c r="L230" s="23" t="n">
        <v>8</v>
      </c>
      <c r="M230" s="23" t="n">
        <v>8</v>
      </c>
      <c r="N230" s="23" t="n">
        <f aca="false">IF(F230="Delivered",SUM(H230:M230),"")</f>
        <v>49</v>
      </c>
      <c r="O230" s="23" t="n">
        <v>5</v>
      </c>
      <c r="P230" s="23" t="s">
        <v>85</v>
      </c>
      <c r="Q230" s="23" t="str">
        <f aca="false">IF(F230="Delivered",IF(N230&gt;Assumptions!$B$4,"Yes","No"),"")</f>
        <v>Yes</v>
      </c>
    </row>
    <row r="231" customFormat="false" ht="15" hidden="false" customHeight="false" outlineLevel="0" collapsed="false">
      <c r="A231" s="23" t="s">
        <v>314</v>
      </c>
      <c r="B231" s="24" t="n">
        <v>46290</v>
      </c>
      <c r="C231" s="23" t="n">
        <v>13</v>
      </c>
      <c r="D231" s="23" t="str">
        <f aca="false">IF(OR(AND(C231&gt;=Assumptions!$B$5,C231&lt;=Assumptions!$B$6),AND(C231&gt;=Assumptions!$B$7,C231&lt;=Assumptions!$B$8)),"Peak","Off-peak")</f>
        <v>Peak</v>
      </c>
      <c r="E231" s="23" t="s">
        <v>62</v>
      </c>
      <c r="F231" s="23" t="s">
        <v>82</v>
      </c>
      <c r="G231" s="23"/>
      <c r="H231" s="23" t="n">
        <v>11</v>
      </c>
      <c r="I231" s="23" t="n">
        <v>18</v>
      </c>
      <c r="J231" s="23" t="n">
        <v>3</v>
      </c>
      <c r="K231" s="23" t="n">
        <v>10</v>
      </c>
      <c r="L231" s="23" t="n">
        <v>2</v>
      </c>
      <c r="M231" s="23" t="n">
        <v>15</v>
      </c>
      <c r="N231" s="23" t="n">
        <f aca="false">IF(F231="Delivered",SUM(H231:M231),"")</f>
        <v>59</v>
      </c>
      <c r="O231" s="23" t="n">
        <v>2</v>
      </c>
      <c r="P231" s="23" t="s">
        <v>87</v>
      </c>
      <c r="Q231" s="23" t="str">
        <f aca="false">IF(F231="Delivered",IF(N231&gt;Assumptions!$B$4,"Yes","No"),"")</f>
        <v>Yes</v>
      </c>
    </row>
    <row r="232" customFormat="false" ht="15" hidden="false" customHeight="false" outlineLevel="0" collapsed="false">
      <c r="A232" s="23" t="s">
        <v>315</v>
      </c>
      <c r="B232" s="24" t="n">
        <v>46290</v>
      </c>
      <c r="C232" s="23" t="n">
        <v>13</v>
      </c>
      <c r="D232" s="23" t="str">
        <f aca="false">IF(OR(AND(C232&gt;=Assumptions!$B$5,C232&lt;=Assumptions!$B$6),AND(C232&gt;=Assumptions!$B$7,C232&lt;=Assumptions!$B$8)),"Peak","Off-peak")</f>
        <v>Peak</v>
      </c>
      <c r="E232" s="23" t="s">
        <v>57</v>
      </c>
      <c r="F232" s="23" t="s">
        <v>82</v>
      </c>
      <c r="G232" s="23"/>
      <c r="H232" s="23" t="n">
        <v>8</v>
      </c>
      <c r="I232" s="23" t="n">
        <v>14</v>
      </c>
      <c r="J232" s="23" t="n">
        <v>8</v>
      </c>
      <c r="K232" s="23" t="n">
        <v>18</v>
      </c>
      <c r="L232" s="23" t="n">
        <v>3</v>
      </c>
      <c r="M232" s="23" t="n">
        <v>9</v>
      </c>
      <c r="N232" s="23" t="n">
        <f aca="false">IF(F232="Delivered",SUM(H232:M232),"")</f>
        <v>60</v>
      </c>
      <c r="O232" s="23" t="n">
        <v>4</v>
      </c>
      <c r="P232" s="23" t="s">
        <v>85</v>
      </c>
      <c r="Q232" s="23" t="str">
        <f aca="false">IF(F232="Delivered",IF(N232&gt;Assumptions!$B$4,"Yes","No"),"")</f>
        <v>Yes</v>
      </c>
    </row>
    <row r="233" customFormat="false" ht="15" hidden="false" customHeight="false" outlineLevel="0" collapsed="false">
      <c r="A233" s="23" t="s">
        <v>316</v>
      </c>
      <c r="B233" s="24" t="n">
        <v>46290</v>
      </c>
      <c r="C233" s="23" t="n">
        <v>13</v>
      </c>
      <c r="D233" s="23" t="str">
        <f aca="false">IF(OR(AND(C233&gt;=Assumptions!$B$5,C233&lt;=Assumptions!$B$6),AND(C233&gt;=Assumptions!$B$7,C233&lt;=Assumptions!$B$8)),"Peak","Off-peak")</f>
        <v>Peak</v>
      </c>
      <c r="E233" s="23" t="s">
        <v>61</v>
      </c>
      <c r="F233" s="23" t="s">
        <v>82</v>
      </c>
      <c r="G233" s="23"/>
      <c r="H233" s="23" t="n">
        <v>3</v>
      </c>
      <c r="I233" s="23" t="n">
        <v>13</v>
      </c>
      <c r="J233" s="23" t="n">
        <v>17</v>
      </c>
      <c r="K233" s="23" t="n">
        <v>4</v>
      </c>
      <c r="L233" s="23" t="n">
        <v>8</v>
      </c>
      <c r="M233" s="23" t="n">
        <v>4</v>
      </c>
      <c r="N233" s="23" t="n">
        <f aca="false">IF(F233="Delivered",SUM(H233:M233),"")</f>
        <v>49</v>
      </c>
      <c r="O233" s="23" t="n">
        <v>4</v>
      </c>
      <c r="P233" s="23" t="s">
        <v>85</v>
      </c>
      <c r="Q233" s="23" t="str">
        <f aca="false">IF(F233="Delivered",IF(N233&gt;Assumptions!$B$4,"Yes","No"),"")</f>
        <v>Yes</v>
      </c>
    </row>
    <row r="234" customFormat="false" ht="15" hidden="false" customHeight="false" outlineLevel="0" collapsed="false">
      <c r="A234" s="23" t="s">
        <v>317</v>
      </c>
      <c r="B234" s="24" t="n">
        <v>46290</v>
      </c>
      <c r="C234" s="23" t="n">
        <v>13</v>
      </c>
      <c r="D234" s="23" t="str">
        <f aca="false">IF(OR(AND(C234&gt;=Assumptions!$B$5,C234&lt;=Assumptions!$B$6),AND(C234&gt;=Assumptions!$B$7,C234&lt;=Assumptions!$B$8)),"Peak","Off-peak")</f>
        <v>Peak</v>
      </c>
      <c r="E234" s="23" t="s">
        <v>59</v>
      </c>
      <c r="F234" s="23" t="s">
        <v>54</v>
      </c>
      <c r="G234" s="23" t="s">
        <v>49</v>
      </c>
      <c r="N234" s="23" t="str">
        <f aca="false">IF(F234="Delivered",SUM(H234:M234),"")</f>
        <v/>
      </c>
      <c r="Q234" s="23" t="str">
        <f aca="false">IF(F234="Delivered",IF(N234&gt;Assumptions!$B$4,"Yes","No"),"")</f>
        <v/>
      </c>
    </row>
    <row r="235" customFormat="false" ht="15" hidden="false" customHeight="false" outlineLevel="0" collapsed="false">
      <c r="A235" s="23" t="s">
        <v>318</v>
      </c>
      <c r="B235" s="24" t="n">
        <v>46290</v>
      </c>
      <c r="C235" s="23" t="n">
        <v>13</v>
      </c>
      <c r="D235" s="23" t="str">
        <f aca="false">IF(OR(AND(C235&gt;=Assumptions!$B$5,C235&lt;=Assumptions!$B$6),AND(C235&gt;=Assumptions!$B$7,C235&lt;=Assumptions!$B$8)),"Peak","Off-peak")</f>
        <v>Peak</v>
      </c>
      <c r="E235" s="23" t="s">
        <v>58</v>
      </c>
      <c r="F235" s="23" t="s">
        <v>82</v>
      </c>
      <c r="G235" s="23"/>
      <c r="H235" s="23" t="n">
        <v>5</v>
      </c>
      <c r="I235" s="23" t="n">
        <v>17</v>
      </c>
      <c r="J235" s="23" t="n">
        <v>5</v>
      </c>
      <c r="K235" s="23" t="n">
        <v>14</v>
      </c>
      <c r="L235" s="23" t="n">
        <v>4</v>
      </c>
      <c r="M235" s="23" t="n">
        <v>18</v>
      </c>
      <c r="N235" s="23" t="n">
        <f aca="false">IF(F235="Delivered",SUM(H235:M235),"")</f>
        <v>63</v>
      </c>
      <c r="O235" s="23" t="n">
        <v>3</v>
      </c>
      <c r="P235" s="23" t="s">
        <v>85</v>
      </c>
      <c r="Q235" s="23" t="str">
        <f aca="false">IF(F235="Delivered",IF(N235&gt;Assumptions!$B$4,"Yes","No"),"")</f>
        <v>Yes</v>
      </c>
    </row>
    <row r="236" customFormat="false" ht="15" hidden="false" customHeight="false" outlineLevel="0" collapsed="false">
      <c r="A236" s="23" t="s">
        <v>319</v>
      </c>
      <c r="B236" s="24" t="n">
        <v>46290</v>
      </c>
      <c r="C236" s="23" t="n">
        <v>14</v>
      </c>
      <c r="D236" s="23" t="str">
        <f aca="false">IF(OR(AND(C236&gt;=Assumptions!$B$5,C236&lt;=Assumptions!$B$6),AND(C236&gt;=Assumptions!$B$7,C236&lt;=Assumptions!$B$8)),"Peak","Off-peak")</f>
        <v>Off-peak</v>
      </c>
      <c r="E236" s="23" t="s">
        <v>63</v>
      </c>
      <c r="F236" s="23" t="s">
        <v>82</v>
      </c>
      <c r="G236" s="23"/>
      <c r="H236" s="23" t="n">
        <v>2</v>
      </c>
      <c r="I236" s="23" t="n">
        <v>16</v>
      </c>
      <c r="J236" s="23" t="n">
        <v>1</v>
      </c>
      <c r="K236" s="23" t="n">
        <v>6</v>
      </c>
      <c r="L236" s="23" t="n">
        <v>2</v>
      </c>
      <c r="M236" s="23" t="n">
        <v>7</v>
      </c>
      <c r="N236" s="23" t="n">
        <f aca="false">IF(F236="Delivered",SUM(H236:M236),"")</f>
        <v>34</v>
      </c>
      <c r="O236" s="23" t="n">
        <v>4</v>
      </c>
      <c r="P236" s="23" t="s">
        <v>85</v>
      </c>
      <c r="Q236" s="23" t="str">
        <f aca="false">IF(F236="Delivered",IF(N236&gt;Assumptions!$B$4,"Yes","No"),"")</f>
        <v>No</v>
      </c>
    </row>
    <row r="237" customFormat="false" ht="15" hidden="false" customHeight="false" outlineLevel="0" collapsed="false">
      <c r="A237" s="23" t="s">
        <v>320</v>
      </c>
      <c r="B237" s="24" t="n">
        <v>46290</v>
      </c>
      <c r="C237" s="23" t="n">
        <v>17</v>
      </c>
      <c r="D237" s="23" t="str">
        <f aca="false">IF(OR(AND(C237&gt;=Assumptions!$B$5,C237&lt;=Assumptions!$B$6),AND(C237&gt;=Assumptions!$B$7,C237&lt;=Assumptions!$B$8)),"Peak","Off-peak")</f>
        <v>Off-peak</v>
      </c>
      <c r="E237" s="23" t="s">
        <v>60</v>
      </c>
      <c r="F237" s="23" t="s">
        <v>82</v>
      </c>
      <c r="G237" s="23"/>
      <c r="H237" s="23" t="n">
        <v>2</v>
      </c>
      <c r="I237" s="23" t="n">
        <v>12</v>
      </c>
      <c r="J237" s="23" t="n">
        <v>3</v>
      </c>
      <c r="K237" s="23" t="n">
        <v>5</v>
      </c>
      <c r="L237" s="23" t="n">
        <v>4</v>
      </c>
      <c r="M237" s="23" t="n">
        <v>11</v>
      </c>
      <c r="N237" s="23" t="n">
        <f aca="false">IF(F237="Delivered",SUM(H237:M237),"")</f>
        <v>37</v>
      </c>
      <c r="O237" s="23" t="n">
        <v>5</v>
      </c>
      <c r="P237" s="23" t="s">
        <v>85</v>
      </c>
      <c r="Q237" s="23" t="str">
        <f aca="false">IF(F237="Delivered",IF(N237&gt;Assumptions!$B$4,"Yes","No"),"")</f>
        <v>No</v>
      </c>
    </row>
    <row r="238" customFormat="false" ht="15" hidden="false" customHeight="false" outlineLevel="0" collapsed="false">
      <c r="A238" s="23" t="s">
        <v>321</v>
      </c>
      <c r="B238" s="24" t="n">
        <v>46290</v>
      </c>
      <c r="C238" s="23" t="n">
        <v>17</v>
      </c>
      <c r="D238" s="23" t="str">
        <f aca="false">IF(OR(AND(C238&gt;=Assumptions!$B$5,C238&lt;=Assumptions!$B$6),AND(C238&gt;=Assumptions!$B$7,C238&lt;=Assumptions!$B$8)),"Peak","Off-peak")</f>
        <v>Off-peak</v>
      </c>
      <c r="E238" s="23" t="s">
        <v>60</v>
      </c>
      <c r="F238" s="23" t="s">
        <v>82</v>
      </c>
      <c r="G238" s="23"/>
      <c r="H238" s="23" t="n">
        <v>1</v>
      </c>
      <c r="I238" s="23" t="n">
        <v>15</v>
      </c>
      <c r="J238" s="23" t="n">
        <v>4</v>
      </c>
      <c r="K238" s="23" t="n">
        <v>4</v>
      </c>
      <c r="L238" s="23" t="n">
        <v>2</v>
      </c>
      <c r="M238" s="23" t="n">
        <v>9</v>
      </c>
      <c r="N238" s="23" t="n">
        <f aca="false">IF(F238="Delivered",SUM(H238:M238),"")</f>
        <v>35</v>
      </c>
      <c r="O238" s="23" t="n">
        <v>5</v>
      </c>
      <c r="P238" s="23" t="s">
        <v>85</v>
      </c>
      <c r="Q238" s="23" t="str">
        <f aca="false">IF(F238="Delivered",IF(N238&gt;Assumptions!$B$4,"Yes","No"),"")</f>
        <v>No</v>
      </c>
    </row>
    <row r="239" customFormat="false" ht="15" hidden="false" customHeight="false" outlineLevel="0" collapsed="false">
      <c r="A239" s="23" t="s">
        <v>322</v>
      </c>
      <c r="B239" s="24" t="n">
        <v>46290</v>
      </c>
      <c r="C239" s="23" t="n">
        <v>18</v>
      </c>
      <c r="D239" s="23" t="str">
        <f aca="false">IF(OR(AND(C239&gt;=Assumptions!$B$5,C239&lt;=Assumptions!$B$6),AND(C239&gt;=Assumptions!$B$7,C239&lt;=Assumptions!$B$8)),"Peak","Off-peak")</f>
        <v>Off-peak</v>
      </c>
      <c r="E239" s="23" t="s">
        <v>64</v>
      </c>
      <c r="F239" s="23" t="s">
        <v>82</v>
      </c>
      <c r="G239" s="23"/>
      <c r="H239" s="23" t="n">
        <v>1</v>
      </c>
      <c r="I239" s="23" t="n">
        <v>6</v>
      </c>
      <c r="J239" s="23" t="n">
        <v>1</v>
      </c>
      <c r="K239" s="23" t="n">
        <v>2</v>
      </c>
      <c r="L239" s="23" t="n">
        <v>1</v>
      </c>
      <c r="M239" s="23" t="n">
        <v>7</v>
      </c>
      <c r="N239" s="23" t="n">
        <f aca="false">IF(F239="Delivered",SUM(H239:M239),"")</f>
        <v>18</v>
      </c>
      <c r="O239" s="23" t="n">
        <v>5</v>
      </c>
      <c r="P239" s="23" t="s">
        <v>85</v>
      </c>
      <c r="Q239" s="23" t="str">
        <f aca="false">IF(F239="Delivered",IF(N239&gt;Assumptions!$B$4,"Yes","No"),"")</f>
        <v>No</v>
      </c>
    </row>
    <row r="240" customFormat="false" ht="15" hidden="false" customHeight="false" outlineLevel="0" collapsed="false">
      <c r="A240" s="23" t="s">
        <v>323</v>
      </c>
      <c r="B240" s="24" t="n">
        <v>46290</v>
      </c>
      <c r="C240" s="23" t="n">
        <v>18</v>
      </c>
      <c r="D240" s="23" t="str">
        <f aca="false">IF(OR(AND(C240&gt;=Assumptions!$B$5,C240&lt;=Assumptions!$B$6),AND(C240&gt;=Assumptions!$B$7,C240&lt;=Assumptions!$B$8)),"Peak","Off-peak")</f>
        <v>Off-peak</v>
      </c>
      <c r="E240" s="23" t="s">
        <v>57</v>
      </c>
      <c r="F240" s="23" t="s">
        <v>82</v>
      </c>
      <c r="G240" s="23"/>
      <c r="H240" s="23" t="n">
        <v>2</v>
      </c>
      <c r="I240" s="23" t="n">
        <v>11</v>
      </c>
      <c r="J240" s="23" t="n">
        <v>4</v>
      </c>
      <c r="K240" s="23" t="n">
        <v>4</v>
      </c>
      <c r="L240" s="23" t="n">
        <v>1</v>
      </c>
      <c r="M240" s="23" t="n">
        <v>5</v>
      </c>
      <c r="N240" s="23" t="n">
        <f aca="false">IF(F240="Delivered",SUM(H240:M240),"")</f>
        <v>27</v>
      </c>
      <c r="O240" s="23" t="n">
        <v>5</v>
      </c>
      <c r="P240" s="23" t="s">
        <v>85</v>
      </c>
      <c r="Q240" s="23" t="str">
        <f aca="false">IF(F240="Delivered",IF(N240&gt;Assumptions!$B$4,"Yes","No"),"")</f>
        <v>No</v>
      </c>
    </row>
    <row r="241" customFormat="false" ht="15" hidden="false" customHeight="false" outlineLevel="0" collapsed="false">
      <c r="A241" s="23" t="s">
        <v>324</v>
      </c>
      <c r="B241" s="24" t="n">
        <v>46290</v>
      </c>
      <c r="C241" s="23" t="n">
        <v>19</v>
      </c>
      <c r="D241" s="23" t="str">
        <f aca="false">IF(OR(AND(C241&gt;=Assumptions!$B$5,C241&lt;=Assumptions!$B$6),AND(C241&gt;=Assumptions!$B$7,C241&lt;=Assumptions!$B$8)),"Peak","Off-peak")</f>
        <v>Peak</v>
      </c>
      <c r="E241" s="23" t="s">
        <v>64</v>
      </c>
      <c r="F241" s="23" t="s">
        <v>54</v>
      </c>
      <c r="G241" s="23" t="s">
        <v>46</v>
      </c>
      <c r="N241" s="23" t="str">
        <f aca="false">IF(F241="Delivered",SUM(H241:M241),"")</f>
        <v/>
      </c>
      <c r="Q241" s="23" t="str">
        <f aca="false">IF(F241="Delivered",IF(N241&gt;Assumptions!$B$4,"Yes","No"),"")</f>
        <v/>
      </c>
    </row>
    <row r="242" customFormat="false" ht="15" hidden="false" customHeight="false" outlineLevel="0" collapsed="false">
      <c r="A242" s="23" t="s">
        <v>325</v>
      </c>
      <c r="B242" s="24" t="n">
        <v>46290</v>
      </c>
      <c r="C242" s="23" t="n">
        <v>19</v>
      </c>
      <c r="D242" s="23" t="str">
        <f aca="false">IF(OR(AND(C242&gt;=Assumptions!$B$5,C242&lt;=Assumptions!$B$6),AND(C242&gt;=Assumptions!$B$7,C242&lt;=Assumptions!$B$8)),"Peak","Off-peak")</f>
        <v>Peak</v>
      </c>
      <c r="E242" s="23" t="s">
        <v>58</v>
      </c>
      <c r="F242" s="23" t="s">
        <v>82</v>
      </c>
      <c r="G242" s="23"/>
      <c r="H242" s="23" t="n">
        <v>3</v>
      </c>
      <c r="I242" s="23" t="n">
        <v>18</v>
      </c>
      <c r="J242" s="23" t="n">
        <v>6</v>
      </c>
      <c r="K242" s="23" t="n">
        <v>11</v>
      </c>
      <c r="L242" s="23" t="n">
        <v>5</v>
      </c>
      <c r="M242" s="23" t="n">
        <v>13</v>
      </c>
      <c r="N242" s="23" t="n">
        <f aca="false">IF(F242="Delivered",SUM(H242:M242),"")</f>
        <v>56</v>
      </c>
      <c r="O242" s="23" t="n">
        <v>4</v>
      </c>
      <c r="P242" s="23" t="s">
        <v>85</v>
      </c>
      <c r="Q242" s="23" t="str">
        <f aca="false">IF(F242="Delivered",IF(N242&gt;Assumptions!$B$4,"Yes","No"),"")</f>
        <v>Yes</v>
      </c>
    </row>
    <row r="243" customFormat="false" ht="15" hidden="false" customHeight="false" outlineLevel="0" collapsed="false">
      <c r="A243" s="23" t="s">
        <v>326</v>
      </c>
      <c r="B243" s="24" t="n">
        <v>46290</v>
      </c>
      <c r="C243" s="23" t="n">
        <v>19</v>
      </c>
      <c r="D243" s="23" t="str">
        <f aca="false">IF(OR(AND(C243&gt;=Assumptions!$B$5,C243&lt;=Assumptions!$B$6),AND(C243&gt;=Assumptions!$B$7,C243&lt;=Assumptions!$B$8)),"Peak","Off-peak")</f>
        <v>Peak</v>
      </c>
      <c r="E243" s="23" t="s">
        <v>62</v>
      </c>
      <c r="F243" s="23" t="s">
        <v>82</v>
      </c>
      <c r="G243" s="23"/>
      <c r="H243" s="23" t="n">
        <v>4</v>
      </c>
      <c r="I243" s="23" t="n">
        <v>19</v>
      </c>
      <c r="J243" s="23" t="n">
        <v>11</v>
      </c>
      <c r="K243" s="23" t="n">
        <v>3</v>
      </c>
      <c r="L243" s="23" t="n">
        <v>5</v>
      </c>
      <c r="M243" s="23" t="n">
        <v>8</v>
      </c>
      <c r="N243" s="23" t="n">
        <f aca="false">IF(F243="Delivered",SUM(H243:M243),"")</f>
        <v>50</v>
      </c>
      <c r="O243" s="23" t="n">
        <v>3</v>
      </c>
      <c r="P243" s="23" t="s">
        <v>83</v>
      </c>
      <c r="Q243" s="23" t="str">
        <f aca="false">IF(F243="Delivered",IF(N243&gt;Assumptions!$B$4,"Yes","No"),"")</f>
        <v>Yes</v>
      </c>
    </row>
    <row r="244" customFormat="false" ht="15" hidden="false" customHeight="false" outlineLevel="0" collapsed="false">
      <c r="A244" s="23" t="s">
        <v>327</v>
      </c>
      <c r="B244" s="24" t="n">
        <v>46290</v>
      </c>
      <c r="C244" s="23" t="n">
        <v>19</v>
      </c>
      <c r="D244" s="23" t="str">
        <f aca="false">IF(OR(AND(C244&gt;=Assumptions!$B$5,C244&lt;=Assumptions!$B$6),AND(C244&gt;=Assumptions!$B$7,C244&lt;=Assumptions!$B$8)),"Peak","Off-peak")</f>
        <v>Peak</v>
      </c>
      <c r="E244" s="23" t="s">
        <v>60</v>
      </c>
      <c r="F244" s="23" t="s">
        <v>54</v>
      </c>
      <c r="G244" s="23" t="s">
        <v>47</v>
      </c>
      <c r="N244" s="23" t="str">
        <f aca="false">IF(F244="Delivered",SUM(H244:M244),"")</f>
        <v/>
      </c>
      <c r="Q244" s="23" t="str">
        <f aca="false">IF(F244="Delivered",IF(N244&gt;Assumptions!$B$4,"Yes","No"),"")</f>
        <v/>
      </c>
    </row>
    <row r="245" customFormat="false" ht="15" hidden="false" customHeight="false" outlineLevel="0" collapsed="false">
      <c r="A245" s="23" t="s">
        <v>328</v>
      </c>
      <c r="B245" s="24" t="n">
        <v>46290</v>
      </c>
      <c r="C245" s="23" t="n">
        <v>20</v>
      </c>
      <c r="D245" s="23" t="str">
        <f aca="false">IF(OR(AND(C245&gt;=Assumptions!$B$5,C245&lt;=Assumptions!$B$6),AND(C245&gt;=Assumptions!$B$7,C245&lt;=Assumptions!$B$8)),"Peak","Off-peak")</f>
        <v>Peak</v>
      </c>
      <c r="E245" s="23" t="s">
        <v>60</v>
      </c>
      <c r="F245" s="23" t="s">
        <v>82</v>
      </c>
      <c r="G245" s="23"/>
      <c r="H245" s="23" t="n">
        <v>4</v>
      </c>
      <c r="I245" s="23" t="n">
        <v>13</v>
      </c>
      <c r="J245" s="23" t="n">
        <v>6</v>
      </c>
      <c r="K245" s="23" t="n">
        <v>7</v>
      </c>
      <c r="L245" s="23" t="n">
        <v>2</v>
      </c>
      <c r="M245" s="23" t="n">
        <v>5</v>
      </c>
      <c r="N245" s="23" t="n">
        <f aca="false">IF(F245="Delivered",SUM(H245:M245),"")</f>
        <v>37</v>
      </c>
      <c r="O245" s="23" t="n">
        <v>3</v>
      </c>
      <c r="P245" s="23" t="s">
        <v>83</v>
      </c>
      <c r="Q245" s="23" t="str">
        <f aca="false">IF(F245="Delivered",IF(N245&gt;Assumptions!$B$4,"Yes","No"),"")</f>
        <v>No</v>
      </c>
    </row>
    <row r="246" customFormat="false" ht="15" hidden="false" customHeight="false" outlineLevel="0" collapsed="false">
      <c r="A246" s="23" t="s">
        <v>329</v>
      </c>
      <c r="B246" s="24" t="n">
        <v>46290</v>
      </c>
      <c r="C246" s="23" t="n">
        <v>20</v>
      </c>
      <c r="D246" s="23" t="str">
        <f aca="false">IF(OR(AND(C246&gt;=Assumptions!$B$5,C246&lt;=Assumptions!$B$6),AND(C246&gt;=Assumptions!$B$7,C246&lt;=Assumptions!$B$8)),"Peak","Off-peak")</f>
        <v>Peak</v>
      </c>
      <c r="E246" s="23" t="s">
        <v>57</v>
      </c>
      <c r="F246" s="23" t="s">
        <v>82</v>
      </c>
      <c r="G246" s="23"/>
      <c r="H246" s="23" t="n">
        <v>3</v>
      </c>
      <c r="I246" s="23" t="n">
        <v>10</v>
      </c>
      <c r="J246" s="23" t="n">
        <v>10</v>
      </c>
      <c r="K246" s="23" t="n">
        <v>6</v>
      </c>
      <c r="L246" s="23" t="n">
        <v>2</v>
      </c>
      <c r="M246" s="23" t="n">
        <v>9</v>
      </c>
      <c r="N246" s="23" t="n">
        <f aca="false">IF(F246="Delivered",SUM(H246:M246),"")</f>
        <v>40</v>
      </c>
      <c r="O246" s="23" t="n">
        <v>4</v>
      </c>
      <c r="P246" s="23" t="s">
        <v>85</v>
      </c>
      <c r="Q246" s="23" t="str">
        <f aca="false">IF(F246="Delivered",IF(N246&gt;Assumptions!$B$4,"Yes","No"),"")</f>
        <v>No</v>
      </c>
    </row>
    <row r="247" customFormat="false" ht="15" hidden="false" customHeight="false" outlineLevel="0" collapsed="false">
      <c r="A247" s="23" t="s">
        <v>330</v>
      </c>
      <c r="B247" s="24" t="n">
        <v>46290</v>
      </c>
      <c r="C247" s="23" t="n">
        <v>20</v>
      </c>
      <c r="D247" s="23" t="str">
        <f aca="false">IF(OR(AND(C247&gt;=Assumptions!$B$5,C247&lt;=Assumptions!$B$6),AND(C247&gt;=Assumptions!$B$7,C247&lt;=Assumptions!$B$8)),"Peak","Off-peak")</f>
        <v>Peak</v>
      </c>
      <c r="E247" s="23" t="s">
        <v>61</v>
      </c>
      <c r="F247" s="23" t="s">
        <v>54</v>
      </c>
      <c r="G247" s="23" t="s">
        <v>46</v>
      </c>
      <c r="N247" s="23" t="str">
        <f aca="false">IF(F247="Delivered",SUM(H247:M247),"")</f>
        <v/>
      </c>
      <c r="Q247" s="23" t="str">
        <f aca="false">IF(F247="Delivered",IF(N247&gt;Assumptions!$B$4,"Yes","No"),"")</f>
        <v/>
      </c>
    </row>
    <row r="248" customFormat="false" ht="15" hidden="false" customHeight="false" outlineLevel="0" collapsed="false">
      <c r="A248" s="23" t="s">
        <v>331</v>
      </c>
      <c r="B248" s="24" t="n">
        <v>46290</v>
      </c>
      <c r="C248" s="23" t="n">
        <v>20</v>
      </c>
      <c r="D248" s="23" t="str">
        <f aca="false">IF(OR(AND(C248&gt;=Assumptions!$B$5,C248&lt;=Assumptions!$B$6),AND(C248&gt;=Assumptions!$B$7,C248&lt;=Assumptions!$B$8)),"Peak","Off-peak")</f>
        <v>Peak</v>
      </c>
      <c r="E248" s="23" t="s">
        <v>60</v>
      </c>
      <c r="F248" s="23" t="s">
        <v>82</v>
      </c>
      <c r="G248" s="23"/>
      <c r="H248" s="23" t="n">
        <v>1</v>
      </c>
      <c r="I248" s="23" t="n">
        <v>17</v>
      </c>
      <c r="J248" s="23" t="n">
        <v>7</v>
      </c>
      <c r="K248" s="23" t="n">
        <v>10</v>
      </c>
      <c r="L248" s="23" t="n">
        <v>2</v>
      </c>
      <c r="M248" s="23" t="n">
        <v>9</v>
      </c>
      <c r="N248" s="23" t="n">
        <f aca="false">IF(F248="Delivered",SUM(H248:M248),"")</f>
        <v>46</v>
      </c>
      <c r="O248" s="23" t="n">
        <v>4</v>
      </c>
      <c r="P248" s="23" t="s">
        <v>85</v>
      </c>
      <c r="Q248" s="23" t="str">
        <f aca="false">IF(F248="Delivered",IF(N248&gt;Assumptions!$B$4,"Yes","No"),"")</f>
        <v>Yes</v>
      </c>
    </row>
    <row r="249" customFormat="false" ht="15" hidden="false" customHeight="false" outlineLevel="0" collapsed="false">
      <c r="A249" s="23" t="s">
        <v>332</v>
      </c>
      <c r="B249" s="24" t="n">
        <v>46290</v>
      </c>
      <c r="C249" s="23" t="n">
        <v>21</v>
      </c>
      <c r="D249" s="23" t="str">
        <f aca="false">IF(OR(AND(C249&gt;=Assumptions!$B$5,C249&lt;=Assumptions!$B$6),AND(C249&gt;=Assumptions!$B$7,C249&lt;=Assumptions!$B$8)),"Peak","Off-peak")</f>
        <v>Peak</v>
      </c>
      <c r="E249" s="23" t="s">
        <v>62</v>
      </c>
      <c r="F249" s="23" t="s">
        <v>82</v>
      </c>
      <c r="G249" s="23"/>
      <c r="H249" s="23" t="n">
        <v>1</v>
      </c>
      <c r="I249" s="23" t="n">
        <v>20</v>
      </c>
      <c r="J249" s="23" t="n">
        <v>14</v>
      </c>
      <c r="K249" s="23" t="n">
        <v>6</v>
      </c>
      <c r="L249" s="23" t="n">
        <v>8</v>
      </c>
      <c r="M249" s="23" t="n">
        <v>9</v>
      </c>
      <c r="N249" s="23" t="n">
        <f aca="false">IF(F249="Delivered",SUM(H249:M249),"")</f>
        <v>58</v>
      </c>
      <c r="O249" s="23" t="n">
        <v>3</v>
      </c>
      <c r="P249" s="23" t="s">
        <v>85</v>
      </c>
      <c r="Q249" s="23" t="str">
        <f aca="false">IF(F249="Delivered",IF(N249&gt;Assumptions!$B$4,"Yes","No"),"")</f>
        <v>Yes</v>
      </c>
    </row>
    <row r="250" customFormat="false" ht="15" hidden="false" customHeight="false" outlineLevel="0" collapsed="false">
      <c r="A250" s="23" t="s">
        <v>333</v>
      </c>
      <c r="B250" s="24" t="n">
        <v>46290</v>
      </c>
      <c r="C250" s="23" t="n">
        <v>21</v>
      </c>
      <c r="D250" s="23" t="str">
        <f aca="false">IF(OR(AND(C250&gt;=Assumptions!$B$5,C250&lt;=Assumptions!$B$6),AND(C250&gt;=Assumptions!$B$7,C250&lt;=Assumptions!$B$8)),"Peak","Off-peak")</f>
        <v>Peak</v>
      </c>
      <c r="E250" s="23" t="s">
        <v>63</v>
      </c>
      <c r="F250" s="23" t="s">
        <v>82</v>
      </c>
      <c r="G250" s="23"/>
      <c r="H250" s="23" t="n">
        <v>6</v>
      </c>
      <c r="I250" s="23" t="n">
        <v>23</v>
      </c>
      <c r="J250" s="23" t="n">
        <v>5</v>
      </c>
      <c r="K250" s="23" t="n">
        <v>10</v>
      </c>
      <c r="L250" s="23" t="n">
        <v>2</v>
      </c>
      <c r="M250" s="23" t="n">
        <v>5</v>
      </c>
      <c r="N250" s="23" t="n">
        <f aca="false">IF(F250="Delivered",SUM(H250:M250),"")</f>
        <v>51</v>
      </c>
      <c r="O250" s="23" t="n">
        <v>4</v>
      </c>
      <c r="P250" s="23" t="s">
        <v>85</v>
      </c>
      <c r="Q250" s="23" t="str">
        <f aca="false">IF(F250="Delivered",IF(N250&gt;Assumptions!$B$4,"Yes","No"),"")</f>
        <v>Yes</v>
      </c>
    </row>
    <row r="251" customFormat="false" ht="15" hidden="false" customHeight="false" outlineLevel="0" collapsed="false">
      <c r="A251" s="23" t="s">
        <v>334</v>
      </c>
      <c r="B251" s="24" t="n">
        <v>46290</v>
      </c>
      <c r="C251" s="23" t="n">
        <v>22</v>
      </c>
      <c r="D251" s="23" t="str">
        <f aca="false">IF(OR(AND(C251&gt;=Assumptions!$B$5,C251&lt;=Assumptions!$B$6),AND(C251&gt;=Assumptions!$B$7,C251&lt;=Assumptions!$B$8)),"Peak","Off-peak")</f>
        <v>Off-peak</v>
      </c>
      <c r="E251" s="23" t="s">
        <v>58</v>
      </c>
      <c r="F251" s="23" t="s">
        <v>82</v>
      </c>
      <c r="G251" s="23"/>
      <c r="H251" s="23" t="n">
        <v>4</v>
      </c>
      <c r="I251" s="23" t="n">
        <v>9</v>
      </c>
      <c r="J251" s="23" t="n">
        <v>2</v>
      </c>
      <c r="K251" s="23" t="n">
        <v>6</v>
      </c>
      <c r="L251" s="23" t="n">
        <v>2</v>
      </c>
      <c r="M251" s="23" t="n">
        <v>12</v>
      </c>
      <c r="N251" s="23" t="n">
        <f aca="false">IF(F251="Delivered",SUM(H251:M251),"")</f>
        <v>35</v>
      </c>
      <c r="O251" s="23" t="n">
        <v>5</v>
      </c>
      <c r="P251" s="23" t="s">
        <v>85</v>
      </c>
      <c r="Q251" s="23" t="str">
        <f aca="false">IF(F251="Delivered",IF(N251&gt;Assumptions!$B$4,"Yes","No"),"")</f>
        <v>No</v>
      </c>
    </row>
    <row r="252" customFormat="false" ht="15" hidden="false" customHeight="false" outlineLevel="0" collapsed="false">
      <c r="A252" s="23" t="s">
        <v>335</v>
      </c>
      <c r="B252" s="24" t="n">
        <v>46290</v>
      </c>
      <c r="C252" s="23" t="n">
        <v>22</v>
      </c>
      <c r="D252" s="23" t="str">
        <f aca="false">IF(OR(AND(C252&gt;=Assumptions!$B$5,C252&lt;=Assumptions!$B$6),AND(C252&gt;=Assumptions!$B$7,C252&lt;=Assumptions!$B$8)),"Peak","Off-peak")</f>
        <v>Off-peak</v>
      </c>
      <c r="E252" s="23" t="s">
        <v>61</v>
      </c>
      <c r="F252" s="23" t="s">
        <v>82</v>
      </c>
      <c r="G252" s="23"/>
      <c r="H252" s="23" t="n">
        <v>3</v>
      </c>
      <c r="I252" s="23" t="n">
        <v>13</v>
      </c>
      <c r="J252" s="23" t="n">
        <v>6</v>
      </c>
      <c r="K252" s="23" t="n">
        <v>10</v>
      </c>
      <c r="L252" s="23" t="n">
        <v>0</v>
      </c>
      <c r="M252" s="23" t="n">
        <v>12</v>
      </c>
      <c r="N252" s="23" t="n">
        <f aca="false">IF(F252="Delivered",SUM(H252:M252),"")</f>
        <v>44</v>
      </c>
      <c r="O252" s="23" t="n">
        <v>4</v>
      </c>
      <c r="P252" s="23" t="s">
        <v>85</v>
      </c>
      <c r="Q252" s="23" t="str">
        <f aca="false">IF(F252="Delivered",IF(N252&gt;Assumptions!$B$4,"Yes","No"),"")</f>
        <v>No</v>
      </c>
    </row>
    <row r="253" customFormat="false" ht="15" hidden="false" customHeight="false" outlineLevel="0" collapsed="false">
      <c r="A253" s="23" t="s">
        <v>336</v>
      </c>
      <c r="B253" s="24" t="n">
        <v>46290</v>
      </c>
      <c r="C253" s="23" t="n">
        <v>22</v>
      </c>
      <c r="D253" s="23" t="str">
        <f aca="false">IF(OR(AND(C253&gt;=Assumptions!$B$5,C253&lt;=Assumptions!$B$6),AND(C253&gt;=Assumptions!$B$7,C253&lt;=Assumptions!$B$8)),"Peak","Off-peak")</f>
        <v>Off-peak</v>
      </c>
      <c r="E253" s="23" t="s">
        <v>62</v>
      </c>
      <c r="F253" s="23" t="s">
        <v>82</v>
      </c>
      <c r="G253" s="23"/>
      <c r="H253" s="23" t="n">
        <v>1</v>
      </c>
      <c r="I253" s="23" t="n">
        <v>16</v>
      </c>
      <c r="J253" s="23" t="n">
        <v>2</v>
      </c>
      <c r="K253" s="23" t="n">
        <v>5</v>
      </c>
      <c r="L253" s="23" t="n">
        <v>1</v>
      </c>
      <c r="M253" s="23" t="n">
        <v>4</v>
      </c>
      <c r="N253" s="23" t="n">
        <f aca="false">IF(F253="Delivered",SUM(H253:M253),"")</f>
        <v>29</v>
      </c>
      <c r="O253" s="23" t="n">
        <v>5</v>
      </c>
      <c r="P253" s="23" t="s">
        <v>85</v>
      </c>
      <c r="Q253" s="23" t="str">
        <f aca="false">IF(F253="Delivered",IF(N253&gt;Assumptions!$B$4,"Yes","No"),"")</f>
        <v>No</v>
      </c>
    </row>
    <row r="254" customFormat="false" ht="15" hidden="false" customHeight="false" outlineLevel="0" collapsed="false">
      <c r="A254" s="23" t="s">
        <v>337</v>
      </c>
      <c r="B254" s="24" t="n">
        <v>46290</v>
      </c>
      <c r="C254" s="23" t="n">
        <v>22</v>
      </c>
      <c r="D254" s="23" t="str">
        <f aca="false">IF(OR(AND(C254&gt;=Assumptions!$B$5,C254&lt;=Assumptions!$B$6),AND(C254&gt;=Assumptions!$B$7,C254&lt;=Assumptions!$B$8)),"Peak","Off-peak")</f>
        <v>Off-peak</v>
      </c>
      <c r="E254" s="23" t="s">
        <v>57</v>
      </c>
      <c r="F254" s="23" t="s">
        <v>82</v>
      </c>
      <c r="G254" s="23"/>
      <c r="H254" s="23" t="n">
        <v>2</v>
      </c>
      <c r="I254" s="23" t="n">
        <v>13</v>
      </c>
      <c r="J254" s="23" t="n">
        <v>4</v>
      </c>
      <c r="K254" s="23" t="n">
        <v>5</v>
      </c>
      <c r="L254" s="23" t="n">
        <v>2</v>
      </c>
      <c r="M254" s="23" t="n">
        <v>9</v>
      </c>
      <c r="N254" s="23" t="n">
        <f aca="false">IF(F254="Delivered",SUM(H254:M254),"")</f>
        <v>35</v>
      </c>
      <c r="O254" s="23" t="n">
        <v>5</v>
      </c>
      <c r="P254" s="23" t="s">
        <v>85</v>
      </c>
      <c r="Q254" s="23" t="str">
        <f aca="false">IF(F254="Delivered",IF(N254&gt;Assumptions!$B$4,"Yes","No"),"")</f>
        <v>No</v>
      </c>
    </row>
    <row r="255" customFormat="false" ht="15" hidden="false" customHeight="false" outlineLevel="0" collapsed="false">
      <c r="A255" s="23" t="s">
        <v>338</v>
      </c>
      <c r="B255" s="24" t="n">
        <v>46291</v>
      </c>
      <c r="C255" s="23" t="n">
        <v>12</v>
      </c>
      <c r="D255" s="23" t="str">
        <f aca="false">IF(OR(AND(C255&gt;=Assumptions!$B$5,C255&lt;=Assumptions!$B$6),AND(C255&gt;=Assumptions!$B$7,C255&lt;=Assumptions!$B$8)),"Peak","Off-peak")</f>
        <v>Peak</v>
      </c>
      <c r="E255" s="23" t="s">
        <v>62</v>
      </c>
      <c r="F255" s="23" t="s">
        <v>82</v>
      </c>
      <c r="G255" s="23"/>
      <c r="H255" s="23" t="n">
        <v>5</v>
      </c>
      <c r="I255" s="23" t="n">
        <v>8</v>
      </c>
      <c r="J255" s="23" t="n">
        <v>6</v>
      </c>
      <c r="K255" s="23" t="n">
        <v>10</v>
      </c>
      <c r="L255" s="23" t="n">
        <v>3</v>
      </c>
      <c r="M255" s="23" t="n">
        <v>10</v>
      </c>
      <c r="N255" s="23" t="n">
        <f aca="false">IF(F255="Delivered",SUM(H255:M255),"")</f>
        <v>42</v>
      </c>
      <c r="O255" s="23" t="n">
        <v>5</v>
      </c>
      <c r="P255" s="23" t="s">
        <v>85</v>
      </c>
      <c r="Q255" s="23" t="str">
        <f aca="false">IF(F255="Delivered",IF(N255&gt;Assumptions!$B$4,"Yes","No"),"")</f>
        <v>No</v>
      </c>
    </row>
    <row r="256" customFormat="false" ht="15" hidden="false" customHeight="false" outlineLevel="0" collapsed="false">
      <c r="A256" s="23" t="s">
        <v>339</v>
      </c>
      <c r="B256" s="24" t="n">
        <v>46291</v>
      </c>
      <c r="C256" s="23" t="n">
        <v>13</v>
      </c>
      <c r="D256" s="23" t="str">
        <f aca="false">IF(OR(AND(C256&gt;=Assumptions!$B$5,C256&lt;=Assumptions!$B$6),AND(C256&gt;=Assumptions!$B$7,C256&lt;=Assumptions!$B$8)),"Peak","Off-peak")</f>
        <v>Peak</v>
      </c>
      <c r="E256" s="23" t="s">
        <v>64</v>
      </c>
      <c r="F256" s="23" t="s">
        <v>82</v>
      </c>
      <c r="G256" s="23"/>
      <c r="H256" s="23" t="n">
        <v>2</v>
      </c>
      <c r="I256" s="23" t="n">
        <v>13</v>
      </c>
      <c r="J256" s="23" t="n">
        <v>5</v>
      </c>
      <c r="K256" s="23" t="n">
        <v>11</v>
      </c>
      <c r="L256" s="23" t="n">
        <v>3</v>
      </c>
      <c r="M256" s="23" t="n">
        <v>18</v>
      </c>
      <c r="N256" s="23" t="n">
        <f aca="false">IF(F256="Delivered",SUM(H256:M256),"")</f>
        <v>52</v>
      </c>
      <c r="O256" s="23" t="n">
        <v>4</v>
      </c>
      <c r="P256" s="23" t="s">
        <v>85</v>
      </c>
      <c r="Q256" s="23" t="str">
        <f aca="false">IF(F256="Delivered",IF(N256&gt;Assumptions!$B$4,"Yes","No"),"")</f>
        <v>Yes</v>
      </c>
    </row>
    <row r="257" customFormat="false" ht="15" hidden="false" customHeight="false" outlineLevel="0" collapsed="false">
      <c r="A257" s="23" t="s">
        <v>340</v>
      </c>
      <c r="B257" s="24" t="n">
        <v>46291</v>
      </c>
      <c r="C257" s="23" t="n">
        <v>13</v>
      </c>
      <c r="D257" s="23" t="str">
        <f aca="false">IF(OR(AND(C257&gt;=Assumptions!$B$5,C257&lt;=Assumptions!$B$6),AND(C257&gt;=Assumptions!$B$7,C257&lt;=Assumptions!$B$8)),"Peak","Off-peak")</f>
        <v>Peak</v>
      </c>
      <c r="E257" s="23" t="s">
        <v>60</v>
      </c>
      <c r="F257" s="23" t="s">
        <v>82</v>
      </c>
      <c r="G257" s="23"/>
      <c r="H257" s="23" t="n">
        <v>3</v>
      </c>
      <c r="I257" s="23" t="n">
        <v>18</v>
      </c>
      <c r="J257" s="23" t="n">
        <v>11</v>
      </c>
      <c r="K257" s="23" t="n">
        <v>5</v>
      </c>
      <c r="L257" s="23" t="n">
        <v>5</v>
      </c>
      <c r="M257" s="23" t="n">
        <v>14</v>
      </c>
      <c r="N257" s="23" t="n">
        <f aca="false">IF(F257="Delivered",SUM(H257:M257),"")</f>
        <v>56</v>
      </c>
      <c r="O257" s="23" t="n">
        <v>4</v>
      </c>
      <c r="P257" s="23" t="s">
        <v>85</v>
      </c>
      <c r="Q257" s="23" t="str">
        <f aca="false">IF(F257="Delivered",IF(N257&gt;Assumptions!$B$4,"Yes","No"),"")</f>
        <v>Yes</v>
      </c>
    </row>
    <row r="258" customFormat="false" ht="15" hidden="false" customHeight="false" outlineLevel="0" collapsed="false">
      <c r="A258" s="23" t="s">
        <v>341</v>
      </c>
      <c r="B258" s="24" t="n">
        <v>46291</v>
      </c>
      <c r="C258" s="23" t="n">
        <v>13</v>
      </c>
      <c r="D258" s="23" t="str">
        <f aca="false">IF(OR(AND(C258&gt;=Assumptions!$B$5,C258&lt;=Assumptions!$B$6),AND(C258&gt;=Assumptions!$B$7,C258&lt;=Assumptions!$B$8)),"Peak","Off-peak")</f>
        <v>Peak</v>
      </c>
      <c r="E258" s="23" t="s">
        <v>60</v>
      </c>
      <c r="F258" s="23" t="s">
        <v>82</v>
      </c>
      <c r="G258" s="23"/>
      <c r="H258" s="23" t="n">
        <v>3</v>
      </c>
      <c r="I258" s="23" t="n">
        <v>5</v>
      </c>
      <c r="J258" s="23" t="n">
        <v>6</v>
      </c>
      <c r="K258" s="23" t="n">
        <v>9</v>
      </c>
      <c r="L258" s="23" t="n">
        <v>6</v>
      </c>
      <c r="M258" s="23" t="n">
        <v>8</v>
      </c>
      <c r="N258" s="23" t="n">
        <f aca="false">IF(F258="Delivered",SUM(H258:M258),"")</f>
        <v>37</v>
      </c>
      <c r="O258" s="23" t="n">
        <v>4</v>
      </c>
      <c r="P258" s="23" t="s">
        <v>85</v>
      </c>
      <c r="Q258" s="23" t="str">
        <f aca="false">IF(F258="Delivered",IF(N258&gt;Assumptions!$B$4,"Yes","No"),"")</f>
        <v>No</v>
      </c>
    </row>
    <row r="259" customFormat="false" ht="15" hidden="false" customHeight="false" outlineLevel="0" collapsed="false">
      <c r="A259" s="23" t="s">
        <v>342</v>
      </c>
      <c r="B259" s="24" t="n">
        <v>46291</v>
      </c>
      <c r="C259" s="23" t="n">
        <v>13</v>
      </c>
      <c r="D259" s="23" t="str">
        <f aca="false">IF(OR(AND(C259&gt;=Assumptions!$B$5,C259&lt;=Assumptions!$B$6),AND(C259&gt;=Assumptions!$B$7,C259&lt;=Assumptions!$B$8)),"Peak","Off-peak")</f>
        <v>Peak</v>
      </c>
      <c r="E259" s="23" t="s">
        <v>62</v>
      </c>
      <c r="F259" s="23" t="s">
        <v>54</v>
      </c>
      <c r="G259" s="23" t="s">
        <v>45</v>
      </c>
      <c r="N259" s="23" t="str">
        <f aca="false">IF(F259="Delivered",SUM(H259:M259),"")</f>
        <v/>
      </c>
      <c r="Q259" s="23" t="str">
        <f aca="false">IF(F259="Delivered",IF(N259&gt;Assumptions!$B$4,"Yes","No"),"")</f>
        <v/>
      </c>
    </row>
    <row r="260" customFormat="false" ht="15" hidden="false" customHeight="false" outlineLevel="0" collapsed="false">
      <c r="A260" s="23" t="s">
        <v>343</v>
      </c>
      <c r="B260" s="24" t="n">
        <v>46291</v>
      </c>
      <c r="C260" s="23" t="n">
        <v>14</v>
      </c>
      <c r="D260" s="23" t="str">
        <f aca="false">IF(OR(AND(C260&gt;=Assumptions!$B$5,C260&lt;=Assumptions!$B$6),AND(C260&gt;=Assumptions!$B$7,C260&lt;=Assumptions!$B$8)),"Peak","Off-peak")</f>
        <v>Off-peak</v>
      </c>
      <c r="E260" s="23" t="s">
        <v>57</v>
      </c>
      <c r="F260" s="23" t="s">
        <v>82</v>
      </c>
      <c r="G260" s="23"/>
      <c r="H260" s="23" t="n">
        <v>3</v>
      </c>
      <c r="I260" s="23" t="n">
        <v>13</v>
      </c>
      <c r="J260" s="23" t="n">
        <v>6</v>
      </c>
      <c r="K260" s="23" t="n">
        <v>7</v>
      </c>
      <c r="L260" s="23" t="n">
        <v>2</v>
      </c>
      <c r="M260" s="23" t="n">
        <v>10</v>
      </c>
      <c r="N260" s="23" t="n">
        <f aca="false">IF(F260="Delivered",SUM(H260:M260),"")</f>
        <v>41</v>
      </c>
      <c r="O260" s="23" t="n">
        <v>4</v>
      </c>
      <c r="P260" s="23" t="s">
        <v>85</v>
      </c>
      <c r="Q260" s="23" t="str">
        <f aca="false">IF(F260="Delivered",IF(N260&gt;Assumptions!$B$4,"Yes","No"),"")</f>
        <v>No</v>
      </c>
    </row>
    <row r="261" customFormat="false" ht="15" hidden="false" customHeight="false" outlineLevel="0" collapsed="false">
      <c r="A261" s="23" t="s">
        <v>344</v>
      </c>
      <c r="B261" s="24" t="n">
        <v>46291</v>
      </c>
      <c r="C261" s="23" t="n">
        <v>14</v>
      </c>
      <c r="D261" s="23" t="str">
        <f aca="false">IF(OR(AND(C261&gt;=Assumptions!$B$5,C261&lt;=Assumptions!$B$6),AND(C261&gt;=Assumptions!$B$7,C261&lt;=Assumptions!$B$8)),"Peak","Off-peak")</f>
        <v>Off-peak</v>
      </c>
      <c r="E261" s="23" t="s">
        <v>61</v>
      </c>
      <c r="F261" s="23" t="s">
        <v>82</v>
      </c>
      <c r="G261" s="23"/>
      <c r="H261" s="23" t="n">
        <v>1</v>
      </c>
      <c r="I261" s="23" t="n">
        <v>22</v>
      </c>
      <c r="J261" s="23" t="n">
        <v>3</v>
      </c>
      <c r="K261" s="23" t="n">
        <v>6</v>
      </c>
      <c r="L261" s="23" t="n">
        <v>2</v>
      </c>
      <c r="M261" s="23" t="n">
        <v>17</v>
      </c>
      <c r="N261" s="23" t="n">
        <f aca="false">IF(F261="Delivered",SUM(H261:M261),"")</f>
        <v>51</v>
      </c>
      <c r="O261" s="23" t="n">
        <v>5</v>
      </c>
      <c r="P261" s="23" t="s">
        <v>85</v>
      </c>
      <c r="Q261" s="23" t="str">
        <f aca="false">IF(F261="Delivered",IF(N261&gt;Assumptions!$B$4,"Yes","No"),"")</f>
        <v>Yes</v>
      </c>
    </row>
    <row r="262" customFormat="false" ht="15" hidden="false" customHeight="false" outlineLevel="0" collapsed="false">
      <c r="A262" s="23" t="s">
        <v>345</v>
      </c>
      <c r="B262" s="24" t="n">
        <v>46291</v>
      </c>
      <c r="C262" s="23" t="n">
        <v>14</v>
      </c>
      <c r="D262" s="23" t="str">
        <f aca="false">IF(OR(AND(C262&gt;=Assumptions!$B$5,C262&lt;=Assumptions!$B$6),AND(C262&gt;=Assumptions!$B$7,C262&lt;=Assumptions!$B$8)),"Peak","Off-peak")</f>
        <v>Off-peak</v>
      </c>
      <c r="E262" s="23" t="s">
        <v>60</v>
      </c>
      <c r="F262" s="23" t="s">
        <v>82</v>
      </c>
      <c r="G262" s="23"/>
      <c r="H262" s="23" t="n">
        <v>1</v>
      </c>
      <c r="I262" s="23" t="n">
        <v>17</v>
      </c>
      <c r="J262" s="23" t="n">
        <v>2</v>
      </c>
      <c r="K262" s="23" t="n">
        <v>5</v>
      </c>
      <c r="L262" s="23" t="n">
        <v>2</v>
      </c>
      <c r="M262" s="23" t="n">
        <v>15</v>
      </c>
      <c r="N262" s="23" t="n">
        <f aca="false">IF(F262="Delivered",SUM(H262:M262),"")</f>
        <v>42</v>
      </c>
      <c r="O262" s="23" t="n">
        <v>4</v>
      </c>
      <c r="P262" s="23" t="s">
        <v>85</v>
      </c>
      <c r="Q262" s="23" t="str">
        <f aca="false">IF(F262="Delivered",IF(N262&gt;Assumptions!$B$4,"Yes","No"),"")</f>
        <v>No</v>
      </c>
    </row>
    <row r="263" customFormat="false" ht="15" hidden="false" customHeight="false" outlineLevel="0" collapsed="false">
      <c r="A263" s="23" t="s">
        <v>346</v>
      </c>
      <c r="B263" s="24" t="n">
        <v>46291</v>
      </c>
      <c r="C263" s="23" t="n">
        <v>14</v>
      </c>
      <c r="D263" s="23" t="str">
        <f aca="false">IF(OR(AND(C263&gt;=Assumptions!$B$5,C263&lt;=Assumptions!$B$6),AND(C263&gt;=Assumptions!$B$7,C263&lt;=Assumptions!$B$8)),"Peak","Off-peak")</f>
        <v>Off-peak</v>
      </c>
      <c r="E263" s="23" t="s">
        <v>62</v>
      </c>
      <c r="F263" s="23" t="s">
        <v>82</v>
      </c>
      <c r="G263" s="23"/>
      <c r="H263" s="23" t="n">
        <v>3</v>
      </c>
      <c r="I263" s="23" t="n">
        <v>8</v>
      </c>
      <c r="J263" s="23" t="n">
        <v>4</v>
      </c>
      <c r="K263" s="23" t="n">
        <v>6</v>
      </c>
      <c r="L263" s="23" t="n">
        <v>2</v>
      </c>
      <c r="M263" s="23" t="n">
        <v>3</v>
      </c>
      <c r="N263" s="23" t="n">
        <f aca="false">IF(F263="Delivered",SUM(H263:M263),"")</f>
        <v>26</v>
      </c>
      <c r="O263" s="23" t="n">
        <v>4</v>
      </c>
      <c r="P263" s="23" t="s">
        <v>85</v>
      </c>
      <c r="Q263" s="23" t="str">
        <f aca="false">IF(F263="Delivered",IF(N263&gt;Assumptions!$B$4,"Yes","No"),"")</f>
        <v>No</v>
      </c>
    </row>
    <row r="264" customFormat="false" ht="15" hidden="false" customHeight="false" outlineLevel="0" collapsed="false">
      <c r="A264" s="23" t="s">
        <v>347</v>
      </c>
      <c r="B264" s="24" t="n">
        <v>46291</v>
      </c>
      <c r="C264" s="23" t="n">
        <v>15</v>
      </c>
      <c r="D264" s="23" t="str">
        <f aca="false">IF(OR(AND(C264&gt;=Assumptions!$B$5,C264&lt;=Assumptions!$B$6),AND(C264&gt;=Assumptions!$B$7,C264&lt;=Assumptions!$B$8)),"Peak","Off-peak")</f>
        <v>Off-peak</v>
      </c>
      <c r="E264" s="23" t="s">
        <v>62</v>
      </c>
      <c r="F264" s="23" t="s">
        <v>82</v>
      </c>
      <c r="G264" s="23"/>
      <c r="H264" s="23" t="n">
        <v>2</v>
      </c>
      <c r="I264" s="23" t="n">
        <v>10</v>
      </c>
      <c r="J264" s="23" t="n">
        <v>1</v>
      </c>
      <c r="K264" s="23" t="n">
        <v>5</v>
      </c>
      <c r="L264" s="23" t="n">
        <v>1</v>
      </c>
      <c r="M264" s="23" t="n">
        <v>11</v>
      </c>
      <c r="N264" s="23" t="n">
        <f aca="false">IF(F264="Delivered",SUM(H264:M264),"")</f>
        <v>30</v>
      </c>
      <c r="O264" s="23" t="n">
        <v>5</v>
      </c>
      <c r="P264" s="23" t="s">
        <v>85</v>
      </c>
      <c r="Q264" s="23" t="str">
        <f aca="false">IF(F264="Delivered",IF(N264&gt;Assumptions!$B$4,"Yes","No"),"")</f>
        <v>No</v>
      </c>
    </row>
    <row r="265" customFormat="false" ht="15" hidden="false" customHeight="false" outlineLevel="0" collapsed="false">
      <c r="A265" s="23" t="s">
        <v>348</v>
      </c>
      <c r="B265" s="24" t="n">
        <v>46291</v>
      </c>
      <c r="C265" s="23" t="n">
        <v>15</v>
      </c>
      <c r="D265" s="23" t="str">
        <f aca="false">IF(OR(AND(C265&gt;=Assumptions!$B$5,C265&lt;=Assumptions!$B$6),AND(C265&gt;=Assumptions!$B$7,C265&lt;=Assumptions!$B$8)),"Peak","Off-peak")</f>
        <v>Off-peak</v>
      </c>
      <c r="E265" s="23" t="s">
        <v>61</v>
      </c>
      <c r="F265" s="23" t="s">
        <v>82</v>
      </c>
      <c r="G265" s="23"/>
      <c r="H265" s="23" t="n">
        <v>2</v>
      </c>
      <c r="I265" s="23" t="n">
        <v>8</v>
      </c>
      <c r="J265" s="23" t="n">
        <v>3</v>
      </c>
      <c r="K265" s="23" t="n">
        <v>6</v>
      </c>
      <c r="L265" s="23" t="n">
        <v>1</v>
      </c>
      <c r="M265" s="23" t="n">
        <v>7</v>
      </c>
      <c r="N265" s="23" t="n">
        <f aca="false">IF(F265="Delivered",SUM(H265:M265),"")</f>
        <v>27</v>
      </c>
      <c r="O265" s="23" t="n">
        <v>5</v>
      </c>
      <c r="P265" s="23" t="s">
        <v>85</v>
      </c>
      <c r="Q265" s="23" t="str">
        <f aca="false">IF(F265="Delivered",IF(N265&gt;Assumptions!$B$4,"Yes","No"),"")</f>
        <v>No</v>
      </c>
    </row>
    <row r="266" customFormat="false" ht="15" hidden="false" customHeight="false" outlineLevel="0" collapsed="false">
      <c r="A266" s="23" t="s">
        <v>349</v>
      </c>
      <c r="B266" s="24" t="n">
        <v>46291</v>
      </c>
      <c r="C266" s="23" t="n">
        <v>16</v>
      </c>
      <c r="D266" s="23" t="str">
        <f aca="false">IF(OR(AND(C266&gt;=Assumptions!$B$5,C266&lt;=Assumptions!$B$6),AND(C266&gt;=Assumptions!$B$7,C266&lt;=Assumptions!$B$8)),"Peak","Off-peak")</f>
        <v>Off-peak</v>
      </c>
      <c r="E266" s="23" t="s">
        <v>60</v>
      </c>
      <c r="F266" s="23" t="s">
        <v>54</v>
      </c>
      <c r="G266" s="23" t="s">
        <v>47</v>
      </c>
      <c r="N266" s="23" t="str">
        <f aca="false">IF(F266="Delivered",SUM(H266:M266),"")</f>
        <v/>
      </c>
      <c r="Q266" s="23" t="str">
        <f aca="false">IF(F266="Delivered",IF(N266&gt;Assumptions!$B$4,"Yes","No"),"")</f>
        <v/>
      </c>
    </row>
    <row r="267" customFormat="false" ht="15" hidden="false" customHeight="false" outlineLevel="0" collapsed="false">
      <c r="A267" s="23" t="s">
        <v>350</v>
      </c>
      <c r="B267" s="24" t="n">
        <v>46291</v>
      </c>
      <c r="C267" s="23" t="n">
        <v>17</v>
      </c>
      <c r="D267" s="23" t="str">
        <f aca="false">IF(OR(AND(C267&gt;=Assumptions!$B$5,C267&lt;=Assumptions!$B$6),AND(C267&gt;=Assumptions!$B$7,C267&lt;=Assumptions!$B$8)),"Peak","Off-peak")</f>
        <v>Off-peak</v>
      </c>
      <c r="E267" s="23" t="s">
        <v>60</v>
      </c>
      <c r="F267" s="23" t="s">
        <v>82</v>
      </c>
      <c r="G267" s="23"/>
      <c r="H267" s="23" t="n">
        <v>2</v>
      </c>
      <c r="I267" s="23" t="n">
        <v>12</v>
      </c>
      <c r="J267" s="23" t="n">
        <v>4</v>
      </c>
      <c r="K267" s="23" t="n">
        <v>6</v>
      </c>
      <c r="L267" s="23" t="n">
        <v>2</v>
      </c>
      <c r="M267" s="23" t="n">
        <v>8</v>
      </c>
      <c r="N267" s="23" t="n">
        <f aca="false">IF(F267="Delivered",SUM(H267:M267),"")</f>
        <v>34</v>
      </c>
      <c r="O267" s="23" t="n">
        <v>3</v>
      </c>
      <c r="P267" s="23" t="s">
        <v>85</v>
      </c>
      <c r="Q267" s="23" t="str">
        <f aca="false">IF(F267="Delivered",IF(N267&gt;Assumptions!$B$4,"Yes","No"),"")</f>
        <v>No</v>
      </c>
    </row>
    <row r="268" customFormat="false" ht="15" hidden="false" customHeight="false" outlineLevel="0" collapsed="false">
      <c r="A268" s="23" t="s">
        <v>351</v>
      </c>
      <c r="B268" s="24" t="n">
        <v>46291</v>
      </c>
      <c r="C268" s="23" t="n">
        <v>17</v>
      </c>
      <c r="D268" s="23" t="str">
        <f aca="false">IF(OR(AND(C268&gt;=Assumptions!$B$5,C268&lt;=Assumptions!$B$6),AND(C268&gt;=Assumptions!$B$7,C268&lt;=Assumptions!$B$8)),"Peak","Off-peak")</f>
        <v>Off-peak</v>
      </c>
      <c r="E268" s="23" t="s">
        <v>58</v>
      </c>
      <c r="F268" s="23" t="s">
        <v>82</v>
      </c>
      <c r="G268" s="23"/>
      <c r="H268" s="23" t="n">
        <v>3</v>
      </c>
      <c r="I268" s="23" t="n">
        <v>7</v>
      </c>
      <c r="J268" s="23" t="n">
        <v>1</v>
      </c>
      <c r="K268" s="23" t="n">
        <v>7</v>
      </c>
      <c r="L268" s="23" t="n">
        <v>1</v>
      </c>
      <c r="M268" s="23" t="n">
        <v>7</v>
      </c>
      <c r="N268" s="23" t="n">
        <f aca="false">IF(F268="Delivered",SUM(H268:M268),"")</f>
        <v>26</v>
      </c>
      <c r="O268" s="23" t="n">
        <v>5</v>
      </c>
      <c r="P268" s="23" t="s">
        <v>85</v>
      </c>
      <c r="Q268" s="23" t="str">
        <f aca="false">IF(F268="Delivered",IF(N268&gt;Assumptions!$B$4,"Yes","No"),"")</f>
        <v>No</v>
      </c>
    </row>
    <row r="269" customFormat="false" ht="15" hidden="false" customHeight="false" outlineLevel="0" collapsed="false">
      <c r="A269" s="23" t="s">
        <v>352</v>
      </c>
      <c r="B269" s="24" t="n">
        <v>46291</v>
      </c>
      <c r="C269" s="23" t="n">
        <v>18</v>
      </c>
      <c r="D269" s="23" t="str">
        <f aca="false">IF(OR(AND(C269&gt;=Assumptions!$B$5,C269&lt;=Assumptions!$B$6),AND(C269&gt;=Assumptions!$B$7,C269&lt;=Assumptions!$B$8)),"Peak","Off-peak")</f>
        <v>Off-peak</v>
      </c>
      <c r="E269" s="23" t="s">
        <v>61</v>
      </c>
      <c r="F269" s="23" t="s">
        <v>82</v>
      </c>
      <c r="G269" s="23"/>
      <c r="H269" s="23" t="n">
        <v>1</v>
      </c>
      <c r="I269" s="23" t="n">
        <v>13</v>
      </c>
      <c r="J269" s="23" t="n">
        <v>6</v>
      </c>
      <c r="K269" s="23" t="n">
        <v>5</v>
      </c>
      <c r="L269" s="23" t="n">
        <v>5</v>
      </c>
      <c r="M269" s="23" t="n">
        <v>7</v>
      </c>
      <c r="N269" s="23" t="n">
        <f aca="false">IF(F269="Delivered",SUM(H269:M269),"")</f>
        <v>37</v>
      </c>
      <c r="O269" s="23" t="n">
        <v>5</v>
      </c>
      <c r="P269" s="23" t="s">
        <v>85</v>
      </c>
      <c r="Q269" s="23" t="str">
        <f aca="false">IF(F269="Delivered",IF(N269&gt;Assumptions!$B$4,"Yes","No"),"")</f>
        <v>No</v>
      </c>
    </row>
    <row r="270" customFormat="false" ht="15" hidden="false" customHeight="false" outlineLevel="0" collapsed="false">
      <c r="A270" s="23" t="s">
        <v>353</v>
      </c>
      <c r="B270" s="24" t="n">
        <v>46291</v>
      </c>
      <c r="C270" s="23" t="n">
        <v>18</v>
      </c>
      <c r="D270" s="23" t="str">
        <f aca="false">IF(OR(AND(C270&gt;=Assumptions!$B$5,C270&lt;=Assumptions!$B$6),AND(C270&gt;=Assumptions!$B$7,C270&lt;=Assumptions!$B$8)),"Peak","Off-peak")</f>
        <v>Off-peak</v>
      </c>
      <c r="E270" s="23" t="s">
        <v>62</v>
      </c>
      <c r="F270" s="23" t="s">
        <v>82</v>
      </c>
      <c r="G270" s="23"/>
      <c r="H270" s="23" t="n">
        <v>3</v>
      </c>
      <c r="I270" s="23" t="n">
        <v>13</v>
      </c>
      <c r="J270" s="23" t="n">
        <v>3</v>
      </c>
      <c r="K270" s="23" t="n">
        <v>4</v>
      </c>
      <c r="L270" s="23" t="n">
        <v>3</v>
      </c>
      <c r="M270" s="23" t="n">
        <v>5</v>
      </c>
      <c r="N270" s="23" t="n">
        <f aca="false">IF(F270="Delivered",SUM(H270:M270),"")</f>
        <v>31</v>
      </c>
      <c r="O270" s="23" t="n">
        <v>4</v>
      </c>
      <c r="P270" s="23" t="s">
        <v>85</v>
      </c>
      <c r="Q270" s="23" t="str">
        <f aca="false">IF(F270="Delivered",IF(N270&gt;Assumptions!$B$4,"Yes","No"),"")</f>
        <v>No</v>
      </c>
    </row>
    <row r="271" customFormat="false" ht="15" hidden="false" customHeight="false" outlineLevel="0" collapsed="false">
      <c r="A271" s="23" t="s">
        <v>354</v>
      </c>
      <c r="B271" s="24" t="n">
        <v>46291</v>
      </c>
      <c r="C271" s="23" t="n">
        <v>19</v>
      </c>
      <c r="D271" s="23" t="str">
        <f aca="false">IF(OR(AND(C271&gt;=Assumptions!$B$5,C271&lt;=Assumptions!$B$6),AND(C271&gt;=Assumptions!$B$7,C271&lt;=Assumptions!$B$8)),"Peak","Off-peak")</f>
        <v>Peak</v>
      </c>
      <c r="E271" s="23" t="s">
        <v>60</v>
      </c>
      <c r="F271" s="23" t="s">
        <v>82</v>
      </c>
      <c r="G271" s="23"/>
      <c r="H271" s="23" t="n">
        <v>3</v>
      </c>
      <c r="I271" s="23" t="n">
        <v>27</v>
      </c>
      <c r="J271" s="23" t="n">
        <v>2</v>
      </c>
      <c r="K271" s="23" t="n">
        <v>6</v>
      </c>
      <c r="L271" s="23" t="n">
        <v>7</v>
      </c>
      <c r="M271" s="23" t="n">
        <v>4</v>
      </c>
      <c r="N271" s="23" t="n">
        <f aca="false">IF(F271="Delivered",SUM(H271:M271),"")</f>
        <v>49</v>
      </c>
      <c r="O271" s="23" t="n">
        <v>2</v>
      </c>
      <c r="P271" s="23" t="s">
        <v>83</v>
      </c>
      <c r="Q271" s="23" t="str">
        <f aca="false">IF(F271="Delivered",IF(N271&gt;Assumptions!$B$4,"Yes","No"),"")</f>
        <v>Yes</v>
      </c>
    </row>
    <row r="272" customFormat="false" ht="15" hidden="false" customHeight="false" outlineLevel="0" collapsed="false">
      <c r="A272" s="23" t="s">
        <v>355</v>
      </c>
      <c r="B272" s="24" t="n">
        <v>46291</v>
      </c>
      <c r="C272" s="23" t="n">
        <v>19</v>
      </c>
      <c r="D272" s="23" t="str">
        <f aca="false">IF(OR(AND(C272&gt;=Assumptions!$B$5,C272&lt;=Assumptions!$B$6),AND(C272&gt;=Assumptions!$B$7,C272&lt;=Assumptions!$B$8)),"Peak","Off-peak")</f>
        <v>Peak</v>
      </c>
      <c r="E272" s="23" t="s">
        <v>60</v>
      </c>
      <c r="F272" s="23" t="s">
        <v>82</v>
      </c>
      <c r="G272" s="23"/>
      <c r="H272" s="23" t="n">
        <v>4</v>
      </c>
      <c r="I272" s="23" t="n">
        <v>24</v>
      </c>
      <c r="J272" s="23" t="n">
        <v>4</v>
      </c>
      <c r="K272" s="23" t="n">
        <v>8</v>
      </c>
      <c r="L272" s="23" t="n">
        <v>6</v>
      </c>
      <c r="M272" s="23" t="n">
        <v>16</v>
      </c>
      <c r="N272" s="23" t="n">
        <f aca="false">IF(F272="Delivered",SUM(H272:M272),"")</f>
        <v>62</v>
      </c>
      <c r="O272" s="23" t="n">
        <v>3</v>
      </c>
      <c r="P272" s="23" t="s">
        <v>85</v>
      </c>
      <c r="Q272" s="23" t="str">
        <f aca="false">IF(F272="Delivered",IF(N272&gt;Assumptions!$B$4,"Yes","No"),"")</f>
        <v>Yes</v>
      </c>
    </row>
    <row r="273" customFormat="false" ht="15" hidden="false" customHeight="false" outlineLevel="0" collapsed="false">
      <c r="A273" s="23" t="s">
        <v>356</v>
      </c>
      <c r="B273" s="24" t="n">
        <v>46291</v>
      </c>
      <c r="C273" s="23" t="n">
        <v>19</v>
      </c>
      <c r="D273" s="23" t="str">
        <f aca="false">IF(OR(AND(C273&gt;=Assumptions!$B$5,C273&lt;=Assumptions!$B$6),AND(C273&gt;=Assumptions!$B$7,C273&lt;=Assumptions!$B$8)),"Peak","Off-peak")</f>
        <v>Peak</v>
      </c>
      <c r="E273" s="23" t="s">
        <v>60</v>
      </c>
      <c r="F273" s="23" t="s">
        <v>82</v>
      </c>
      <c r="G273" s="23"/>
      <c r="H273" s="23" t="n">
        <v>3</v>
      </c>
      <c r="I273" s="23" t="n">
        <v>17</v>
      </c>
      <c r="J273" s="23" t="n">
        <v>3</v>
      </c>
      <c r="K273" s="23" t="n">
        <v>8</v>
      </c>
      <c r="L273" s="23" t="n">
        <v>11</v>
      </c>
      <c r="M273" s="23" t="n">
        <v>8</v>
      </c>
      <c r="N273" s="23" t="n">
        <f aca="false">IF(F273="Delivered",SUM(H273:M273),"")</f>
        <v>50</v>
      </c>
      <c r="O273" s="23" t="n">
        <v>2</v>
      </c>
      <c r="P273" s="23" t="s">
        <v>83</v>
      </c>
      <c r="Q273" s="23" t="str">
        <f aca="false">IF(F273="Delivered",IF(N273&gt;Assumptions!$B$4,"Yes","No"),"")</f>
        <v>Yes</v>
      </c>
    </row>
    <row r="274" customFormat="false" ht="15" hidden="false" customHeight="false" outlineLevel="0" collapsed="false">
      <c r="A274" s="23" t="s">
        <v>357</v>
      </c>
      <c r="B274" s="24" t="n">
        <v>46291</v>
      </c>
      <c r="C274" s="23" t="n">
        <v>19</v>
      </c>
      <c r="D274" s="23" t="str">
        <f aca="false">IF(OR(AND(C274&gt;=Assumptions!$B$5,C274&lt;=Assumptions!$B$6),AND(C274&gt;=Assumptions!$B$7,C274&lt;=Assumptions!$B$8)),"Peak","Off-peak")</f>
        <v>Peak</v>
      </c>
      <c r="E274" s="23" t="s">
        <v>63</v>
      </c>
      <c r="F274" s="23" t="s">
        <v>82</v>
      </c>
      <c r="G274" s="23"/>
      <c r="H274" s="23" t="n">
        <v>3</v>
      </c>
      <c r="I274" s="23" t="n">
        <v>12</v>
      </c>
      <c r="J274" s="23" t="n">
        <v>9</v>
      </c>
      <c r="K274" s="23" t="n">
        <v>16</v>
      </c>
      <c r="L274" s="23" t="n">
        <v>7</v>
      </c>
      <c r="M274" s="23" t="n">
        <v>15</v>
      </c>
      <c r="N274" s="23" t="n">
        <f aca="false">IF(F274="Delivered",SUM(H274:M274),"")</f>
        <v>62</v>
      </c>
      <c r="O274" s="23" t="n">
        <v>4</v>
      </c>
      <c r="P274" s="23" t="s">
        <v>85</v>
      </c>
      <c r="Q274" s="23" t="str">
        <f aca="false">IF(F274="Delivered",IF(N274&gt;Assumptions!$B$4,"Yes","No"),"")</f>
        <v>Yes</v>
      </c>
    </row>
    <row r="275" customFormat="false" ht="15" hidden="false" customHeight="false" outlineLevel="0" collapsed="false">
      <c r="A275" s="23" t="s">
        <v>358</v>
      </c>
      <c r="B275" s="24" t="n">
        <v>46291</v>
      </c>
      <c r="C275" s="23" t="n">
        <v>19</v>
      </c>
      <c r="D275" s="23" t="str">
        <f aca="false">IF(OR(AND(C275&gt;=Assumptions!$B$5,C275&lt;=Assumptions!$B$6),AND(C275&gt;=Assumptions!$B$7,C275&lt;=Assumptions!$B$8)),"Peak","Off-peak")</f>
        <v>Peak</v>
      </c>
      <c r="E275" s="23" t="s">
        <v>64</v>
      </c>
      <c r="F275" s="23" t="s">
        <v>82</v>
      </c>
      <c r="G275" s="23"/>
      <c r="H275" s="23" t="n">
        <v>3</v>
      </c>
      <c r="I275" s="23" t="n">
        <v>14</v>
      </c>
      <c r="J275" s="23" t="n">
        <v>12</v>
      </c>
      <c r="K275" s="23" t="n">
        <v>14</v>
      </c>
      <c r="L275" s="23" t="n">
        <v>7</v>
      </c>
      <c r="M275" s="23" t="n">
        <v>7</v>
      </c>
      <c r="N275" s="23" t="n">
        <f aca="false">IF(F275="Delivered",SUM(H275:M275),"")</f>
        <v>57</v>
      </c>
      <c r="O275" s="23" t="n">
        <v>3</v>
      </c>
      <c r="P275" s="23" t="s">
        <v>85</v>
      </c>
      <c r="Q275" s="23" t="str">
        <f aca="false">IF(F275="Delivered",IF(N275&gt;Assumptions!$B$4,"Yes","No"),"")</f>
        <v>Yes</v>
      </c>
    </row>
    <row r="276" customFormat="false" ht="15" hidden="false" customHeight="false" outlineLevel="0" collapsed="false">
      <c r="A276" s="23" t="s">
        <v>359</v>
      </c>
      <c r="B276" s="24" t="n">
        <v>46291</v>
      </c>
      <c r="C276" s="23" t="n">
        <v>21</v>
      </c>
      <c r="D276" s="23" t="str">
        <f aca="false">IF(OR(AND(C276&gt;=Assumptions!$B$5,C276&lt;=Assumptions!$B$6),AND(C276&gt;=Assumptions!$B$7,C276&lt;=Assumptions!$B$8)),"Peak","Off-peak")</f>
        <v>Peak</v>
      </c>
      <c r="E276" s="23" t="s">
        <v>59</v>
      </c>
      <c r="F276" s="23" t="s">
        <v>82</v>
      </c>
      <c r="G276" s="23"/>
      <c r="H276" s="23" t="n">
        <v>5</v>
      </c>
      <c r="I276" s="23" t="n">
        <v>23</v>
      </c>
      <c r="J276" s="23" t="n">
        <v>4</v>
      </c>
      <c r="K276" s="23" t="n">
        <v>7</v>
      </c>
      <c r="L276" s="23" t="n">
        <v>6</v>
      </c>
      <c r="M276" s="23" t="n">
        <v>11</v>
      </c>
      <c r="N276" s="23" t="n">
        <f aca="false">IF(F276="Delivered",SUM(H276:M276),"")</f>
        <v>56</v>
      </c>
      <c r="O276" s="23" t="n">
        <v>4</v>
      </c>
      <c r="P276" s="23" t="s">
        <v>85</v>
      </c>
      <c r="Q276" s="23" t="str">
        <f aca="false">IF(F276="Delivered",IF(N276&gt;Assumptions!$B$4,"Yes","No"),"")</f>
        <v>Yes</v>
      </c>
    </row>
    <row r="277" customFormat="false" ht="15" hidden="false" customHeight="false" outlineLevel="0" collapsed="false">
      <c r="A277" s="23" t="s">
        <v>360</v>
      </c>
      <c r="B277" s="24" t="n">
        <v>46291</v>
      </c>
      <c r="C277" s="23" t="n">
        <v>21</v>
      </c>
      <c r="D277" s="23" t="str">
        <f aca="false">IF(OR(AND(C277&gt;=Assumptions!$B$5,C277&lt;=Assumptions!$B$6),AND(C277&gt;=Assumptions!$B$7,C277&lt;=Assumptions!$B$8)),"Peak","Off-peak")</f>
        <v>Peak</v>
      </c>
      <c r="E277" s="23" t="s">
        <v>61</v>
      </c>
      <c r="F277" s="23" t="s">
        <v>82</v>
      </c>
      <c r="G277" s="23"/>
      <c r="H277" s="23" t="n">
        <v>3</v>
      </c>
      <c r="I277" s="23" t="n">
        <v>15</v>
      </c>
      <c r="J277" s="23" t="n">
        <v>4</v>
      </c>
      <c r="K277" s="23" t="n">
        <v>6</v>
      </c>
      <c r="L277" s="23" t="n">
        <v>4</v>
      </c>
      <c r="M277" s="23" t="n">
        <v>10</v>
      </c>
      <c r="N277" s="23" t="n">
        <f aca="false">IF(F277="Delivered",SUM(H277:M277),"")</f>
        <v>42</v>
      </c>
      <c r="O277" s="23" t="n">
        <v>5</v>
      </c>
      <c r="P277" s="23" t="s">
        <v>85</v>
      </c>
      <c r="Q277" s="23" t="str">
        <f aca="false">IF(F277="Delivered",IF(N277&gt;Assumptions!$B$4,"Yes","No"),"")</f>
        <v>No</v>
      </c>
    </row>
    <row r="278" customFormat="false" ht="15" hidden="false" customHeight="false" outlineLevel="0" collapsed="false">
      <c r="A278" s="23" t="s">
        <v>361</v>
      </c>
      <c r="B278" s="24" t="n">
        <v>46291</v>
      </c>
      <c r="C278" s="23" t="n">
        <v>22</v>
      </c>
      <c r="D278" s="23" t="str">
        <f aca="false">IF(OR(AND(C278&gt;=Assumptions!$B$5,C278&lt;=Assumptions!$B$6),AND(C278&gt;=Assumptions!$B$7,C278&lt;=Assumptions!$B$8)),"Peak","Off-peak")</f>
        <v>Off-peak</v>
      </c>
      <c r="E278" s="23" t="s">
        <v>62</v>
      </c>
      <c r="F278" s="23" t="s">
        <v>82</v>
      </c>
      <c r="G278" s="23"/>
      <c r="H278" s="23" t="n">
        <v>2</v>
      </c>
      <c r="I278" s="23" t="n">
        <v>12</v>
      </c>
      <c r="J278" s="23" t="n">
        <v>3</v>
      </c>
      <c r="K278" s="23" t="n">
        <v>7</v>
      </c>
      <c r="L278" s="23" t="n">
        <v>1</v>
      </c>
      <c r="M278" s="23" t="n">
        <v>5</v>
      </c>
      <c r="N278" s="23" t="n">
        <f aca="false">IF(F278="Delivered",SUM(H278:M278),"")</f>
        <v>30</v>
      </c>
      <c r="O278" s="23" t="n">
        <v>4</v>
      </c>
      <c r="P278" s="23" t="s">
        <v>85</v>
      </c>
      <c r="Q278" s="23" t="str">
        <f aca="false">IF(F278="Delivered",IF(N278&gt;Assumptions!$B$4,"Yes","No"),"")</f>
        <v>No</v>
      </c>
    </row>
    <row r="279" customFormat="false" ht="15" hidden="false" customHeight="false" outlineLevel="0" collapsed="false">
      <c r="A279" s="23" t="s">
        <v>362</v>
      </c>
      <c r="B279" s="24" t="n">
        <v>46291</v>
      </c>
      <c r="C279" s="23" t="n">
        <v>22</v>
      </c>
      <c r="D279" s="23" t="str">
        <f aca="false">IF(OR(AND(C279&gt;=Assumptions!$B$5,C279&lt;=Assumptions!$B$6),AND(C279&gt;=Assumptions!$B$7,C279&lt;=Assumptions!$B$8)),"Peak","Off-peak")</f>
        <v>Off-peak</v>
      </c>
      <c r="E279" s="23" t="s">
        <v>61</v>
      </c>
      <c r="F279" s="23" t="s">
        <v>82</v>
      </c>
      <c r="G279" s="23"/>
      <c r="H279" s="23" t="n">
        <v>2</v>
      </c>
      <c r="I279" s="23" t="n">
        <v>19</v>
      </c>
      <c r="J279" s="23" t="n">
        <v>3</v>
      </c>
      <c r="K279" s="23" t="n">
        <v>5</v>
      </c>
      <c r="L279" s="23" t="n">
        <v>3</v>
      </c>
      <c r="M279" s="23" t="n">
        <v>9</v>
      </c>
      <c r="N279" s="23" t="n">
        <f aca="false">IF(F279="Delivered",SUM(H279:M279),"")</f>
        <v>41</v>
      </c>
      <c r="O279" s="23" t="n">
        <v>4</v>
      </c>
      <c r="P279" s="23" t="s">
        <v>85</v>
      </c>
      <c r="Q279" s="23" t="str">
        <f aca="false">IF(F279="Delivered",IF(N279&gt;Assumptions!$B$4,"Yes","No"),"")</f>
        <v>No</v>
      </c>
    </row>
    <row r="280" customFormat="false" ht="15" hidden="false" customHeight="false" outlineLevel="0" collapsed="false">
      <c r="A280" s="23" t="s">
        <v>363</v>
      </c>
      <c r="B280" s="24" t="n">
        <v>46292</v>
      </c>
      <c r="C280" s="23" t="n">
        <v>10</v>
      </c>
      <c r="D280" s="23" t="str">
        <f aca="false">IF(OR(AND(C280&gt;=Assumptions!$B$5,C280&lt;=Assumptions!$B$6),AND(C280&gt;=Assumptions!$B$7,C280&lt;=Assumptions!$B$8)),"Peak","Off-peak")</f>
        <v>Off-peak</v>
      </c>
      <c r="E280" s="23" t="s">
        <v>58</v>
      </c>
      <c r="F280" s="23" t="s">
        <v>82</v>
      </c>
      <c r="G280" s="23"/>
      <c r="H280" s="23" t="n">
        <v>2</v>
      </c>
      <c r="I280" s="23" t="n">
        <v>15</v>
      </c>
      <c r="J280" s="23" t="n">
        <v>2</v>
      </c>
      <c r="K280" s="23" t="n">
        <v>9</v>
      </c>
      <c r="L280" s="23" t="n">
        <v>0</v>
      </c>
      <c r="M280" s="23" t="n">
        <v>18</v>
      </c>
      <c r="N280" s="23" t="n">
        <f aca="false">IF(F280="Delivered",SUM(H280:M280),"")</f>
        <v>46</v>
      </c>
      <c r="O280" s="23" t="n">
        <v>4</v>
      </c>
      <c r="P280" s="23" t="s">
        <v>85</v>
      </c>
      <c r="Q280" s="23" t="str">
        <f aca="false">IF(F280="Delivered",IF(N280&gt;Assumptions!$B$4,"Yes","No"),"")</f>
        <v>Yes</v>
      </c>
    </row>
    <row r="281" customFormat="false" ht="15" hidden="false" customHeight="false" outlineLevel="0" collapsed="false">
      <c r="A281" s="23" t="s">
        <v>364</v>
      </c>
      <c r="B281" s="24" t="n">
        <v>46292</v>
      </c>
      <c r="C281" s="23" t="n">
        <v>11</v>
      </c>
      <c r="D281" s="23" t="str">
        <f aca="false">IF(OR(AND(C281&gt;=Assumptions!$B$5,C281&lt;=Assumptions!$B$6),AND(C281&gt;=Assumptions!$B$7,C281&lt;=Assumptions!$B$8)),"Peak","Off-peak")</f>
        <v>Off-peak</v>
      </c>
      <c r="E281" s="23" t="s">
        <v>62</v>
      </c>
      <c r="F281" s="23" t="s">
        <v>82</v>
      </c>
      <c r="G281" s="23"/>
      <c r="H281" s="23" t="n">
        <v>3</v>
      </c>
      <c r="I281" s="23" t="n">
        <v>6</v>
      </c>
      <c r="J281" s="23" t="n">
        <v>6</v>
      </c>
      <c r="K281" s="23" t="n">
        <v>6</v>
      </c>
      <c r="L281" s="23" t="n">
        <v>1</v>
      </c>
      <c r="M281" s="23" t="n">
        <v>4</v>
      </c>
      <c r="N281" s="23" t="n">
        <f aca="false">IF(F281="Delivered",SUM(H281:M281),"")</f>
        <v>26</v>
      </c>
      <c r="O281" s="23" t="n">
        <v>4</v>
      </c>
      <c r="P281" s="23" t="s">
        <v>87</v>
      </c>
      <c r="Q281" s="23" t="str">
        <f aca="false">IF(F281="Delivered",IF(N281&gt;Assumptions!$B$4,"Yes","No"),"")</f>
        <v>No</v>
      </c>
    </row>
    <row r="282" customFormat="false" ht="15" hidden="false" customHeight="false" outlineLevel="0" collapsed="false">
      <c r="A282" s="23" t="s">
        <v>365</v>
      </c>
      <c r="B282" s="24" t="n">
        <v>46292</v>
      </c>
      <c r="C282" s="23" t="n">
        <v>12</v>
      </c>
      <c r="D282" s="23" t="str">
        <f aca="false">IF(OR(AND(C282&gt;=Assumptions!$B$5,C282&lt;=Assumptions!$B$6),AND(C282&gt;=Assumptions!$B$7,C282&lt;=Assumptions!$B$8)),"Peak","Off-peak")</f>
        <v>Peak</v>
      </c>
      <c r="E282" s="23" t="s">
        <v>57</v>
      </c>
      <c r="F282" s="23" t="s">
        <v>54</v>
      </c>
      <c r="G282" s="23" t="s">
        <v>46</v>
      </c>
      <c r="N282" s="23" t="str">
        <f aca="false">IF(F282="Delivered",SUM(H282:M282),"")</f>
        <v/>
      </c>
      <c r="Q282" s="23" t="str">
        <f aca="false">IF(F282="Delivered",IF(N282&gt;Assumptions!$B$4,"Yes","No"),"")</f>
        <v/>
      </c>
    </row>
    <row r="283" customFormat="false" ht="15" hidden="false" customHeight="false" outlineLevel="0" collapsed="false">
      <c r="A283" s="23" t="s">
        <v>366</v>
      </c>
      <c r="B283" s="24" t="n">
        <v>46292</v>
      </c>
      <c r="C283" s="23" t="n">
        <v>12</v>
      </c>
      <c r="D283" s="23" t="str">
        <f aca="false">IF(OR(AND(C283&gt;=Assumptions!$B$5,C283&lt;=Assumptions!$B$6),AND(C283&gt;=Assumptions!$B$7,C283&lt;=Assumptions!$B$8)),"Peak","Off-peak")</f>
        <v>Peak</v>
      </c>
      <c r="E283" s="23" t="s">
        <v>58</v>
      </c>
      <c r="F283" s="23" t="s">
        <v>82</v>
      </c>
      <c r="G283" s="23"/>
      <c r="H283" s="23" t="n">
        <v>7</v>
      </c>
      <c r="I283" s="23" t="n">
        <v>20</v>
      </c>
      <c r="J283" s="23" t="n">
        <v>8</v>
      </c>
      <c r="K283" s="23" t="n">
        <v>8</v>
      </c>
      <c r="L283" s="23" t="n">
        <v>6</v>
      </c>
      <c r="M283" s="23" t="n">
        <v>7</v>
      </c>
      <c r="N283" s="23" t="n">
        <f aca="false">IF(F283="Delivered",SUM(H283:M283),"")</f>
        <v>56</v>
      </c>
      <c r="O283" s="23" t="n">
        <v>4</v>
      </c>
      <c r="P283" s="23" t="s">
        <v>85</v>
      </c>
      <c r="Q283" s="23" t="str">
        <f aca="false">IF(F283="Delivered",IF(N283&gt;Assumptions!$B$4,"Yes","No"),"")</f>
        <v>Yes</v>
      </c>
    </row>
    <row r="284" customFormat="false" ht="15" hidden="false" customHeight="false" outlineLevel="0" collapsed="false">
      <c r="A284" s="23" t="s">
        <v>367</v>
      </c>
      <c r="B284" s="24" t="n">
        <v>46292</v>
      </c>
      <c r="C284" s="23" t="n">
        <v>13</v>
      </c>
      <c r="D284" s="23" t="str">
        <f aca="false">IF(OR(AND(C284&gt;=Assumptions!$B$5,C284&lt;=Assumptions!$B$6),AND(C284&gt;=Assumptions!$B$7,C284&lt;=Assumptions!$B$8)),"Peak","Off-peak")</f>
        <v>Peak</v>
      </c>
      <c r="E284" s="23" t="s">
        <v>60</v>
      </c>
      <c r="F284" s="23" t="s">
        <v>82</v>
      </c>
      <c r="G284" s="23"/>
      <c r="H284" s="23" t="n">
        <v>3</v>
      </c>
      <c r="I284" s="23" t="n">
        <v>12</v>
      </c>
      <c r="J284" s="23" t="n">
        <v>5</v>
      </c>
      <c r="K284" s="23" t="n">
        <v>4</v>
      </c>
      <c r="L284" s="23" t="n">
        <v>8</v>
      </c>
      <c r="M284" s="23" t="n">
        <v>11</v>
      </c>
      <c r="N284" s="23" t="n">
        <f aca="false">IF(F284="Delivered",SUM(H284:M284),"")</f>
        <v>43</v>
      </c>
      <c r="O284" s="23" t="n">
        <v>4</v>
      </c>
      <c r="P284" s="23" t="s">
        <v>85</v>
      </c>
      <c r="Q284" s="23" t="str">
        <f aca="false">IF(F284="Delivered",IF(N284&gt;Assumptions!$B$4,"Yes","No"),"")</f>
        <v>No</v>
      </c>
    </row>
    <row r="285" customFormat="false" ht="15" hidden="false" customHeight="false" outlineLevel="0" collapsed="false">
      <c r="A285" s="23" t="s">
        <v>368</v>
      </c>
      <c r="B285" s="24" t="n">
        <v>46292</v>
      </c>
      <c r="C285" s="23" t="n">
        <v>17</v>
      </c>
      <c r="D285" s="23" t="str">
        <f aca="false">IF(OR(AND(C285&gt;=Assumptions!$B$5,C285&lt;=Assumptions!$B$6),AND(C285&gt;=Assumptions!$B$7,C285&lt;=Assumptions!$B$8)),"Peak","Off-peak")</f>
        <v>Off-peak</v>
      </c>
      <c r="E285" s="23" t="s">
        <v>62</v>
      </c>
      <c r="F285" s="23" t="s">
        <v>82</v>
      </c>
      <c r="G285" s="23"/>
      <c r="H285" s="23" t="n">
        <v>1</v>
      </c>
      <c r="I285" s="23" t="n">
        <v>11</v>
      </c>
      <c r="J285" s="23" t="n">
        <v>4</v>
      </c>
      <c r="K285" s="23" t="n">
        <v>6</v>
      </c>
      <c r="L285" s="23" t="n">
        <v>1</v>
      </c>
      <c r="M285" s="23" t="n">
        <v>8</v>
      </c>
      <c r="N285" s="23" t="n">
        <f aca="false">IF(F285="Delivered",SUM(H285:M285),"")</f>
        <v>31</v>
      </c>
      <c r="O285" s="23" t="n">
        <v>4</v>
      </c>
      <c r="P285" s="23" t="s">
        <v>85</v>
      </c>
      <c r="Q285" s="23" t="str">
        <f aca="false">IF(F285="Delivered",IF(N285&gt;Assumptions!$B$4,"Yes","No"),"")</f>
        <v>No</v>
      </c>
    </row>
    <row r="286" customFormat="false" ht="15" hidden="false" customHeight="false" outlineLevel="0" collapsed="false">
      <c r="A286" s="23" t="s">
        <v>369</v>
      </c>
      <c r="B286" s="24" t="n">
        <v>46292</v>
      </c>
      <c r="C286" s="23" t="n">
        <v>17</v>
      </c>
      <c r="D286" s="23" t="str">
        <f aca="false">IF(OR(AND(C286&gt;=Assumptions!$B$5,C286&lt;=Assumptions!$B$6),AND(C286&gt;=Assumptions!$B$7,C286&lt;=Assumptions!$B$8)),"Peak","Off-peak")</f>
        <v>Off-peak</v>
      </c>
      <c r="E286" s="23" t="s">
        <v>63</v>
      </c>
      <c r="F286" s="23" t="s">
        <v>82</v>
      </c>
      <c r="G286" s="23"/>
      <c r="H286" s="23" t="n">
        <v>3</v>
      </c>
      <c r="I286" s="23" t="n">
        <v>21</v>
      </c>
      <c r="J286" s="23" t="n">
        <v>3</v>
      </c>
      <c r="K286" s="23" t="n">
        <v>9</v>
      </c>
      <c r="L286" s="23" t="n">
        <v>2</v>
      </c>
      <c r="M286" s="23" t="n">
        <v>14</v>
      </c>
      <c r="N286" s="23" t="n">
        <f aca="false">IF(F286="Delivered",SUM(H286:M286),"")</f>
        <v>52</v>
      </c>
      <c r="O286" s="23" t="n">
        <v>4</v>
      </c>
      <c r="P286" s="23" t="s">
        <v>85</v>
      </c>
      <c r="Q286" s="23" t="str">
        <f aca="false">IF(F286="Delivered",IF(N286&gt;Assumptions!$B$4,"Yes","No"),"")</f>
        <v>Yes</v>
      </c>
    </row>
    <row r="287" customFormat="false" ht="15" hidden="false" customHeight="false" outlineLevel="0" collapsed="false">
      <c r="A287" s="23" t="s">
        <v>370</v>
      </c>
      <c r="B287" s="24" t="n">
        <v>46292</v>
      </c>
      <c r="C287" s="23" t="n">
        <v>17</v>
      </c>
      <c r="D287" s="23" t="str">
        <f aca="false">IF(OR(AND(C287&gt;=Assumptions!$B$5,C287&lt;=Assumptions!$B$6),AND(C287&gt;=Assumptions!$B$7,C287&lt;=Assumptions!$B$8)),"Peak","Off-peak")</f>
        <v>Off-peak</v>
      </c>
      <c r="E287" s="23" t="s">
        <v>58</v>
      </c>
      <c r="F287" s="23" t="s">
        <v>82</v>
      </c>
      <c r="G287" s="23"/>
      <c r="H287" s="23" t="n">
        <v>1</v>
      </c>
      <c r="I287" s="23" t="n">
        <v>8</v>
      </c>
      <c r="J287" s="23" t="n">
        <v>3</v>
      </c>
      <c r="K287" s="23" t="n">
        <v>4</v>
      </c>
      <c r="L287" s="23" t="n">
        <v>1</v>
      </c>
      <c r="M287" s="23" t="n">
        <v>18</v>
      </c>
      <c r="N287" s="23" t="n">
        <f aca="false">IF(F287="Delivered",SUM(H287:M287),"")</f>
        <v>35</v>
      </c>
      <c r="O287" s="23" t="n">
        <v>5</v>
      </c>
      <c r="P287" s="23" t="s">
        <v>85</v>
      </c>
      <c r="Q287" s="23" t="str">
        <f aca="false">IF(F287="Delivered",IF(N287&gt;Assumptions!$B$4,"Yes","No"),"")</f>
        <v>No</v>
      </c>
    </row>
    <row r="288" customFormat="false" ht="15" hidden="false" customHeight="false" outlineLevel="0" collapsed="false">
      <c r="A288" s="23" t="s">
        <v>371</v>
      </c>
      <c r="B288" s="24" t="n">
        <v>46292</v>
      </c>
      <c r="C288" s="23" t="n">
        <v>18</v>
      </c>
      <c r="D288" s="23" t="str">
        <f aca="false">IF(OR(AND(C288&gt;=Assumptions!$B$5,C288&lt;=Assumptions!$B$6),AND(C288&gt;=Assumptions!$B$7,C288&lt;=Assumptions!$B$8)),"Peak","Off-peak")</f>
        <v>Off-peak</v>
      </c>
      <c r="E288" s="23" t="s">
        <v>60</v>
      </c>
      <c r="F288" s="23" t="s">
        <v>82</v>
      </c>
      <c r="G288" s="23"/>
      <c r="H288" s="23" t="n">
        <v>2</v>
      </c>
      <c r="I288" s="23" t="n">
        <v>7</v>
      </c>
      <c r="J288" s="23" t="n">
        <v>4</v>
      </c>
      <c r="K288" s="23" t="n">
        <v>4</v>
      </c>
      <c r="L288" s="23" t="n">
        <v>2</v>
      </c>
      <c r="M288" s="23" t="n">
        <v>8</v>
      </c>
      <c r="N288" s="23" t="n">
        <f aca="false">IF(F288="Delivered",SUM(H288:M288),"")</f>
        <v>27</v>
      </c>
      <c r="O288" s="23" t="n">
        <v>5</v>
      </c>
      <c r="P288" s="23" t="s">
        <v>85</v>
      </c>
      <c r="Q288" s="23" t="str">
        <f aca="false">IF(F288="Delivered",IF(N288&gt;Assumptions!$B$4,"Yes","No"),"")</f>
        <v>No</v>
      </c>
    </row>
    <row r="289" customFormat="false" ht="15" hidden="false" customHeight="false" outlineLevel="0" collapsed="false">
      <c r="A289" s="23" t="s">
        <v>372</v>
      </c>
      <c r="B289" s="24" t="n">
        <v>46292</v>
      </c>
      <c r="C289" s="23" t="n">
        <v>18</v>
      </c>
      <c r="D289" s="23" t="str">
        <f aca="false">IF(OR(AND(C289&gt;=Assumptions!$B$5,C289&lt;=Assumptions!$B$6),AND(C289&gt;=Assumptions!$B$7,C289&lt;=Assumptions!$B$8)),"Peak","Off-peak")</f>
        <v>Off-peak</v>
      </c>
      <c r="E289" s="23" t="s">
        <v>61</v>
      </c>
      <c r="F289" s="23" t="s">
        <v>82</v>
      </c>
      <c r="G289" s="23"/>
      <c r="H289" s="23" t="n">
        <v>4</v>
      </c>
      <c r="I289" s="23" t="n">
        <v>11</v>
      </c>
      <c r="J289" s="23" t="n">
        <v>5</v>
      </c>
      <c r="K289" s="23" t="n">
        <v>3</v>
      </c>
      <c r="L289" s="23" t="n">
        <v>1</v>
      </c>
      <c r="M289" s="23" t="n">
        <v>13</v>
      </c>
      <c r="N289" s="23" t="n">
        <f aca="false">IF(F289="Delivered",SUM(H289:M289),"")</f>
        <v>37</v>
      </c>
      <c r="O289" s="23" t="n">
        <v>4</v>
      </c>
      <c r="P289" s="23" t="s">
        <v>85</v>
      </c>
      <c r="Q289" s="23" t="str">
        <f aca="false">IF(F289="Delivered",IF(N289&gt;Assumptions!$B$4,"Yes","No"),"")</f>
        <v>No</v>
      </c>
    </row>
    <row r="290" customFormat="false" ht="15" hidden="false" customHeight="false" outlineLevel="0" collapsed="false">
      <c r="A290" s="23" t="s">
        <v>373</v>
      </c>
      <c r="B290" s="24" t="n">
        <v>46292</v>
      </c>
      <c r="C290" s="23" t="n">
        <v>18</v>
      </c>
      <c r="D290" s="23" t="str">
        <f aca="false">IF(OR(AND(C290&gt;=Assumptions!$B$5,C290&lt;=Assumptions!$B$6),AND(C290&gt;=Assumptions!$B$7,C290&lt;=Assumptions!$B$8)),"Peak","Off-peak")</f>
        <v>Off-peak</v>
      </c>
      <c r="E290" s="23" t="s">
        <v>61</v>
      </c>
      <c r="F290" s="23" t="s">
        <v>82</v>
      </c>
      <c r="G290" s="23"/>
      <c r="H290" s="23" t="n">
        <v>2</v>
      </c>
      <c r="I290" s="23" t="n">
        <v>7</v>
      </c>
      <c r="J290" s="23" t="n">
        <v>3</v>
      </c>
      <c r="K290" s="23" t="n">
        <v>10</v>
      </c>
      <c r="L290" s="23" t="n">
        <v>2</v>
      </c>
      <c r="M290" s="23" t="n">
        <v>8</v>
      </c>
      <c r="N290" s="23" t="n">
        <f aca="false">IF(F290="Delivered",SUM(H290:M290),"")</f>
        <v>32</v>
      </c>
      <c r="O290" s="23" t="n">
        <v>4</v>
      </c>
      <c r="P290" s="23" t="s">
        <v>85</v>
      </c>
      <c r="Q290" s="23" t="str">
        <f aca="false">IF(F290="Delivered",IF(N290&gt;Assumptions!$B$4,"Yes","No"),"")</f>
        <v>No</v>
      </c>
    </row>
    <row r="291" customFormat="false" ht="15" hidden="false" customHeight="false" outlineLevel="0" collapsed="false">
      <c r="A291" s="23" t="s">
        <v>374</v>
      </c>
      <c r="B291" s="24" t="n">
        <v>46292</v>
      </c>
      <c r="C291" s="23" t="n">
        <v>19</v>
      </c>
      <c r="D291" s="23" t="str">
        <f aca="false">IF(OR(AND(C291&gt;=Assumptions!$B$5,C291&lt;=Assumptions!$B$6),AND(C291&gt;=Assumptions!$B$7,C291&lt;=Assumptions!$B$8)),"Peak","Off-peak")</f>
        <v>Peak</v>
      </c>
      <c r="E291" s="23" t="s">
        <v>61</v>
      </c>
      <c r="F291" s="23" t="s">
        <v>82</v>
      </c>
      <c r="G291" s="23"/>
      <c r="H291" s="23" t="n">
        <v>3</v>
      </c>
      <c r="I291" s="23" t="n">
        <v>16</v>
      </c>
      <c r="J291" s="23" t="n">
        <v>9</v>
      </c>
      <c r="K291" s="23" t="n">
        <v>15</v>
      </c>
      <c r="L291" s="23" t="n">
        <v>5</v>
      </c>
      <c r="M291" s="23" t="n">
        <v>14</v>
      </c>
      <c r="N291" s="23" t="n">
        <f aca="false">IF(F291="Delivered",SUM(H291:M291),"")</f>
        <v>62</v>
      </c>
      <c r="O291" s="23" t="n">
        <v>3</v>
      </c>
      <c r="P291" s="23" t="s">
        <v>85</v>
      </c>
      <c r="Q291" s="23" t="str">
        <f aca="false">IF(F291="Delivered",IF(N291&gt;Assumptions!$B$4,"Yes","No"),"")</f>
        <v>Yes</v>
      </c>
    </row>
    <row r="292" customFormat="false" ht="15" hidden="false" customHeight="false" outlineLevel="0" collapsed="false">
      <c r="A292" s="23" t="s">
        <v>375</v>
      </c>
      <c r="B292" s="24" t="n">
        <v>46292</v>
      </c>
      <c r="C292" s="23" t="n">
        <v>19</v>
      </c>
      <c r="D292" s="23" t="str">
        <f aca="false">IF(OR(AND(C292&gt;=Assumptions!$B$5,C292&lt;=Assumptions!$B$6),AND(C292&gt;=Assumptions!$B$7,C292&lt;=Assumptions!$B$8)),"Peak","Off-peak")</f>
        <v>Peak</v>
      </c>
      <c r="E292" s="23" t="s">
        <v>57</v>
      </c>
      <c r="F292" s="23" t="s">
        <v>82</v>
      </c>
      <c r="G292" s="23"/>
      <c r="H292" s="23" t="n">
        <v>2</v>
      </c>
      <c r="I292" s="23" t="n">
        <v>16</v>
      </c>
      <c r="J292" s="23" t="n">
        <v>7</v>
      </c>
      <c r="K292" s="23" t="n">
        <v>6</v>
      </c>
      <c r="L292" s="23" t="n">
        <v>3</v>
      </c>
      <c r="M292" s="23" t="n">
        <v>9</v>
      </c>
      <c r="N292" s="23" t="n">
        <f aca="false">IF(F292="Delivered",SUM(H292:M292),"")</f>
        <v>43</v>
      </c>
      <c r="O292" s="23" t="n">
        <v>4</v>
      </c>
      <c r="P292" s="23" t="s">
        <v>85</v>
      </c>
      <c r="Q292" s="23" t="str">
        <f aca="false">IF(F292="Delivered",IF(N292&gt;Assumptions!$B$4,"Yes","No"),"")</f>
        <v>No</v>
      </c>
    </row>
    <row r="293" customFormat="false" ht="15" hidden="false" customHeight="false" outlineLevel="0" collapsed="false">
      <c r="A293" s="23" t="s">
        <v>376</v>
      </c>
      <c r="B293" s="24" t="n">
        <v>46292</v>
      </c>
      <c r="C293" s="23" t="n">
        <v>20</v>
      </c>
      <c r="D293" s="23" t="str">
        <f aca="false">IF(OR(AND(C293&gt;=Assumptions!$B$5,C293&lt;=Assumptions!$B$6),AND(C293&gt;=Assumptions!$B$7,C293&lt;=Assumptions!$B$8)),"Peak","Off-peak")</f>
        <v>Peak</v>
      </c>
      <c r="E293" s="23" t="s">
        <v>62</v>
      </c>
      <c r="F293" s="23" t="s">
        <v>82</v>
      </c>
      <c r="G293" s="23"/>
      <c r="H293" s="23" t="n">
        <v>5</v>
      </c>
      <c r="I293" s="23" t="n">
        <v>12</v>
      </c>
      <c r="J293" s="23" t="n">
        <v>12</v>
      </c>
      <c r="K293" s="23" t="n">
        <v>5</v>
      </c>
      <c r="L293" s="23" t="n">
        <v>3</v>
      </c>
      <c r="M293" s="23" t="n">
        <v>7</v>
      </c>
      <c r="N293" s="23" t="n">
        <f aca="false">IF(F293="Delivered",SUM(H293:M293),"")</f>
        <v>44</v>
      </c>
      <c r="O293" s="23" t="n">
        <v>4</v>
      </c>
      <c r="P293" s="23" t="s">
        <v>85</v>
      </c>
      <c r="Q293" s="23" t="str">
        <f aca="false">IF(F293="Delivered",IF(N293&gt;Assumptions!$B$4,"Yes","No"),"")</f>
        <v>No</v>
      </c>
    </row>
    <row r="294" customFormat="false" ht="15" hidden="false" customHeight="false" outlineLevel="0" collapsed="false">
      <c r="A294" s="23" t="s">
        <v>377</v>
      </c>
      <c r="B294" s="24" t="n">
        <v>46292</v>
      </c>
      <c r="C294" s="23" t="n">
        <v>20</v>
      </c>
      <c r="D294" s="23" t="str">
        <f aca="false">IF(OR(AND(C294&gt;=Assumptions!$B$5,C294&lt;=Assumptions!$B$6),AND(C294&gt;=Assumptions!$B$7,C294&lt;=Assumptions!$B$8)),"Peak","Off-peak")</f>
        <v>Peak</v>
      </c>
      <c r="E294" s="23" t="s">
        <v>57</v>
      </c>
      <c r="F294" s="23" t="s">
        <v>82</v>
      </c>
      <c r="G294" s="23"/>
      <c r="H294" s="23" t="n">
        <v>3</v>
      </c>
      <c r="I294" s="23" t="n">
        <v>12</v>
      </c>
      <c r="J294" s="23" t="n">
        <v>4</v>
      </c>
      <c r="K294" s="23" t="n">
        <v>7</v>
      </c>
      <c r="L294" s="23" t="n">
        <v>2</v>
      </c>
      <c r="M294" s="23" t="n">
        <v>7</v>
      </c>
      <c r="N294" s="23" t="n">
        <f aca="false">IF(F294="Delivered",SUM(H294:M294),"")</f>
        <v>35</v>
      </c>
      <c r="O294" s="23" t="n">
        <v>5</v>
      </c>
      <c r="P294" s="23" t="s">
        <v>85</v>
      </c>
      <c r="Q294" s="23" t="str">
        <f aca="false">IF(F294="Delivered",IF(N294&gt;Assumptions!$B$4,"Yes","No"),"")</f>
        <v>No</v>
      </c>
    </row>
    <row r="295" customFormat="false" ht="15" hidden="false" customHeight="false" outlineLevel="0" collapsed="false">
      <c r="A295" s="23" t="s">
        <v>378</v>
      </c>
      <c r="B295" s="24" t="n">
        <v>46292</v>
      </c>
      <c r="C295" s="23" t="n">
        <v>20</v>
      </c>
      <c r="D295" s="23" t="str">
        <f aca="false">IF(OR(AND(C295&gt;=Assumptions!$B$5,C295&lt;=Assumptions!$B$6),AND(C295&gt;=Assumptions!$B$7,C295&lt;=Assumptions!$B$8)),"Peak","Off-peak")</f>
        <v>Peak</v>
      </c>
      <c r="E295" s="23" t="s">
        <v>57</v>
      </c>
      <c r="F295" s="23" t="s">
        <v>54</v>
      </c>
      <c r="G295" s="23" t="s">
        <v>47</v>
      </c>
      <c r="N295" s="23" t="str">
        <f aca="false">IF(F295="Delivered",SUM(H295:M295),"")</f>
        <v/>
      </c>
      <c r="Q295" s="23" t="str">
        <f aca="false">IF(F295="Delivered",IF(N295&gt;Assumptions!$B$4,"Yes","No"),"")</f>
        <v/>
      </c>
    </row>
    <row r="296" customFormat="false" ht="15" hidden="false" customHeight="false" outlineLevel="0" collapsed="false">
      <c r="A296" s="23" t="s">
        <v>379</v>
      </c>
      <c r="B296" s="24" t="n">
        <v>46292</v>
      </c>
      <c r="C296" s="23" t="n">
        <v>20</v>
      </c>
      <c r="D296" s="23" t="str">
        <f aca="false">IF(OR(AND(C296&gt;=Assumptions!$B$5,C296&lt;=Assumptions!$B$6),AND(C296&gt;=Assumptions!$B$7,C296&lt;=Assumptions!$B$8)),"Peak","Off-peak")</f>
        <v>Peak</v>
      </c>
      <c r="E296" s="23" t="s">
        <v>58</v>
      </c>
      <c r="F296" s="23" t="s">
        <v>82</v>
      </c>
      <c r="G296" s="23"/>
      <c r="H296" s="23" t="n">
        <v>5</v>
      </c>
      <c r="I296" s="23" t="n">
        <v>12</v>
      </c>
      <c r="J296" s="23" t="n">
        <v>11</v>
      </c>
      <c r="K296" s="23" t="n">
        <v>9</v>
      </c>
      <c r="L296" s="23" t="n">
        <v>3</v>
      </c>
      <c r="M296" s="23" t="n">
        <v>17</v>
      </c>
      <c r="N296" s="23" t="n">
        <f aca="false">IF(F296="Delivered",SUM(H296:M296),"")</f>
        <v>57</v>
      </c>
      <c r="O296" s="23" t="n">
        <v>4</v>
      </c>
      <c r="P296" s="23" t="s">
        <v>85</v>
      </c>
      <c r="Q296" s="23" t="str">
        <f aca="false">IF(F296="Delivered",IF(N296&gt;Assumptions!$B$4,"Yes","No"),"")</f>
        <v>Yes</v>
      </c>
    </row>
    <row r="297" customFormat="false" ht="15" hidden="false" customHeight="false" outlineLevel="0" collapsed="false">
      <c r="A297" s="23" t="s">
        <v>380</v>
      </c>
      <c r="B297" s="24" t="n">
        <v>46292</v>
      </c>
      <c r="C297" s="23" t="n">
        <v>21</v>
      </c>
      <c r="D297" s="23" t="str">
        <f aca="false">IF(OR(AND(C297&gt;=Assumptions!$B$5,C297&lt;=Assumptions!$B$6),AND(C297&gt;=Assumptions!$B$7,C297&lt;=Assumptions!$B$8)),"Peak","Off-peak")</f>
        <v>Peak</v>
      </c>
      <c r="E297" s="23" t="s">
        <v>58</v>
      </c>
      <c r="F297" s="23" t="s">
        <v>54</v>
      </c>
      <c r="G297" s="23" t="s">
        <v>45</v>
      </c>
      <c r="N297" s="23" t="str">
        <f aca="false">IF(F297="Delivered",SUM(H297:M297),"")</f>
        <v/>
      </c>
      <c r="Q297" s="23" t="str">
        <f aca="false">IF(F297="Delivered",IF(N297&gt;Assumptions!$B$4,"Yes","No"),"")</f>
        <v/>
      </c>
    </row>
    <row r="298" customFormat="false" ht="15" hidden="false" customHeight="false" outlineLevel="0" collapsed="false">
      <c r="A298" s="23" t="s">
        <v>381</v>
      </c>
      <c r="B298" s="24" t="n">
        <v>46292</v>
      </c>
      <c r="C298" s="23" t="n">
        <v>21</v>
      </c>
      <c r="D298" s="23" t="str">
        <f aca="false">IF(OR(AND(C298&gt;=Assumptions!$B$5,C298&lt;=Assumptions!$B$6),AND(C298&gt;=Assumptions!$B$7,C298&lt;=Assumptions!$B$8)),"Peak","Off-peak")</f>
        <v>Peak</v>
      </c>
      <c r="E298" s="23" t="s">
        <v>57</v>
      </c>
      <c r="F298" s="23" t="s">
        <v>82</v>
      </c>
      <c r="G298" s="23"/>
      <c r="H298" s="23" t="n">
        <v>3</v>
      </c>
      <c r="I298" s="23" t="n">
        <v>12</v>
      </c>
      <c r="J298" s="23" t="n">
        <v>8</v>
      </c>
      <c r="K298" s="23" t="n">
        <v>5</v>
      </c>
      <c r="L298" s="23" t="n">
        <v>4</v>
      </c>
      <c r="M298" s="23" t="n">
        <v>10</v>
      </c>
      <c r="N298" s="23" t="n">
        <f aca="false">IF(F298="Delivered",SUM(H298:M298),"")</f>
        <v>42</v>
      </c>
      <c r="O298" s="23" t="n">
        <v>3</v>
      </c>
      <c r="P298" s="23" t="s">
        <v>85</v>
      </c>
      <c r="Q298" s="23" t="str">
        <f aca="false">IF(F298="Delivered",IF(N298&gt;Assumptions!$B$4,"Yes","No"),"")</f>
        <v>No</v>
      </c>
    </row>
    <row r="299" customFormat="false" ht="15" hidden="false" customHeight="false" outlineLevel="0" collapsed="false">
      <c r="A299" s="23" t="s">
        <v>382</v>
      </c>
      <c r="B299" s="24" t="n">
        <v>46292</v>
      </c>
      <c r="C299" s="23" t="n">
        <v>21</v>
      </c>
      <c r="D299" s="23" t="str">
        <f aca="false">IF(OR(AND(C299&gt;=Assumptions!$B$5,C299&lt;=Assumptions!$B$6),AND(C299&gt;=Assumptions!$B$7,C299&lt;=Assumptions!$B$8)),"Peak","Off-peak")</f>
        <v>Peak</v>
      </c>
      <c r="E299" s="23" t="s">
        <v>61</v>
      </c>
      <c r="F299" s="23" t="s">
        <v>82</v>
      </c>
      <c r="G299" s="23"/>
      <c r="H299" s="23" t="n">
        <v>3</v>
      </c>
      <c r="I299" s="23" t="n">
        <v>28</v>
      </c>
      <c r="J299" s="23" t="n">
        <v>10</v>
      </c>
      <c r="K299" s="23" t="n">
        <v>4</v>
      </c>
      <c r="L299" s="23" t="n">
        <v>4</v>
      </c>
      <c r="M299" s="23" t="n">
        <v>12</v>
      </c>
      <c r="N299" s="23" t="n">
        <f aca="false">IF(F299="Delivered",SUM(H299:M299),"")</f>
        <v>61</v>
      </c>
      <c r="O299" s="23" t="n">
        <v>3</v>
      </c>
      <c r="P299" s="23" t="s">
        <v>85</v>
      </c>
      <c r="Q299" s="23" t="str">
        <f aca="false">IF(F299="Delivered",IF(N299&gt;Assumptions!$B$4,"Yes","No"),"")</f>
        <v>Yes</v>
      </c>
    </row>
    <row r="300" customFormat="false" ht="15" hidden="false" customHeight="false" outlineLevel="0" collapsed="false">
      <c r="A300" s="23" t="s">
        <v>383</v>
      </c>
      <c r="B300" s="24" t="n">
        <v>46292</v>
      </c>
      <c r="C300" s="23" t="n">
        <v>21</v>
      </c>
      <c r="D300" s="23" t="str">
        <f aca="false">IF(OR(AND(C300&gt;=Assumptions!$B$5,C300&lt;=Assumptions!$B$6),AND(C300&gt;=Assumptions!$B$7,C300&lt;=Assumptions!$B$8)),"Peak","Off-peak")</f>
        <v>Peak</v>
      </c>
      <c r="E300" s="23" t="s">
        <v>57</v>
      </c>
      <c r="F300" s="23" t="s">
        <v>82</v>
      </c>
      <c r="G300" s="23"/>
      <c r="H300" s="23" t="n">
        <v>3</v>
      </c>
      <c r="I300" s="23" t="n">
        <v>14</v>
      </c>
      <c r="J300" s="23" t="n">
        <v>6</v>
      </c>
      <c r="K300" s="23" t="n">
        <v>3</v>
      </c>
      <c r="L300" s="23" t="n">
        <v>4</v>
      </c>
      <c r="M300" s="23" t="n">
        <v>14</v>
      </c>
      <c r="N300" s="23" t="n">
        <f aca="false">IF(F300="Delivered",SUM(H300:M300),"")</f>
        <v>44</v>
      </c>
      <c r="O300" s="23" t="n">
        <v>4</v>
      </c>
      <c r="P300" s="23" t="s">
        <v>85</v>
      </c>
      <c r="Q300" s="23" t="str">
        <f aca="false">IF(F300="Delivered",IF(N300&gt;Assumptions!$B$4,"Yes","No"),"")</f>
        <v>No</v>
      </c>
    </row>
    <row r="301" customFormat="false" ht="15" hidden="false" customHeight="false" outlineLevel="0" collapsed="false">
      <c r="A301" s="23" t="s">
        <v>384</v>
      </c>
      <c r="B301" s="24" t="n">
        <v>46292</v>
      </c>
      <c r="C301" s="23" t="n">
        <v>22</v>
      </c>
      <c r="D301" s="23" t="str">
        <f aca="false">IF(OR(AND(C301&gt;=Assumptions!$B$5,C301&lt;=Assumptions!$B$6),AND(C301&gt;=Assumptions!$B$7,C301&lt;=Assumptions!$B$8)),"Peak","Off-peak")</f>
        <v>Off-peak</v>
      </c>
      <c r="E301" s="23" t="s">
        <v>57</v>
      </c>
      <c r="F301" s="23" t="s">
        <v>82</v>
      </c>
      <c r="G301" s="23"/>
      <c r="H301" s="23" t="n">
        <v>2</v>
      </c>
      <c r="I301" s="23" t="n">
        <v>11</v>
      </c>
      <c r="J301" s="23" t="n">
        <v>10</v>
      </c>
      <c r="K301" s="23" t="n">
        <v>6</v>
      </c>
      <c r="L301" s="23" t="n">
        <v>2</v>
      </c>
      <c r="M301" s="23" t="n">
        <v>10</v>
      </c>
      <c r="N301" s="23" t="n">
        <f aca="false">IF(F301="Delivered",SUM(H301:M301),"")</f>
        <v>41</v>
      </c>
      <c r="O301" s="23" t="n">
        <v>3</v>
      </c>
      <c r="P301" s="23" t="s">
        <v>85</v>
      </c>
      <c r="Q301" s="23" t="str">
        <f aca="false">IF(F301="Delivered",IF(N301&gt;Assumptions!$B$4,"Yes","No"),"")</f>
        <v>No</v>
      </c>
    </row>
  </sheetData>
  <autoFilter ref="A1:Q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3" customFormat="false" ht="15" hidden="false" customHeight="false" outlineLevel="0" collapsed="false">
      <c r="A3" s="25" t="s">
        <v>387</v>
      </c>
      <c r="B3" s="25" t="s">
        <v>388</v>
      </c>
      <c r="C3" s="25" t="s">
        <v>389</v>
      </c>
    </row>
    <row r="4" customFormat="false" ht="15" hidden="false" customHeight="false" outlineLevel="0" collapsed="false">
      <c r="A4" s="5" t="s">
        <v>390</v>
      </c>
      <c r="B4" s="26" t="n">
        <v>45</v>
      </c>
      <c r="C4" s="5" t="s">
        <v>391</v>
      </c>
    </row>
    <row r="5" customFormat="false" ht="15" hidden="false" customHeight="false" outlineLevel="0" collapsed="false">
      <c r="A5" s="5" t="s">
        <v>392</v>
      </c>
      <c r="B5" s="26" t="n">
        <v>12</v>
      </c>
      <c r="C5" s="5" t="s">
        <v>393</v>
      </c>
    </row>
    <row r="6" customFormat="false" ht="15" hidden="false" customHeight="false" outlineLevel="0" collapsed="false">
      <c r="A6" s="5" t="s">
        <v>394</v>
      </c>
      <c r="B6" s="26" t="n">
        <v>13</v>
      </c>
      <c r="C6" s="5" t="s">
        <v>395</v>
      </c>
    </row>
    <row r="7" customFormat="false" ht="15" hidden="false" customHeight="false" outlineLevel="0" collapsed="false">
      <c r="A7" s="5" t="s">
        <v>396</v>
      </c>
      <c r="B7" s="26" t="n">
        <v>19</v>
      </c>
      <c r="C7" s="5" t="s">
        <v>397</v>
      </c>
    </row>
    <row r="8" customFormat="false" ht="15" hidden="false" customHeight="false" outlineLevel="0" collapsed="false">
      <c r="A8" s="5" t="s">
        <v>398</v>
      </c>
      <c r="B8" s="26" t="n">
        <v>21</v>
      </c>
      <c r="C8" s="5" t="s">
        <v>399</v>
      </c>
    </row>
    <row r="9" customFormat="false" ht="15" hidden="false" customHeight="false" outlineLevel="0" collapsed="false">
      <c r="A9" s="5" t="s">
        <v>400</v>
      </c>
      <c r="B9" s="27" t="n">
        <v>34</v>
      </c>
      <c r="C9" s="5" t="s">
        <v>401</v>
      </c>
    </row>
    <row r="10" customFormat="false" ht="15" hidden="false" customHeight="false" outlineLevel="0" collapsed="false">
      <c r="A10" s="5" t="s">
        <v>402</v>
      </c>
      <c r="B10" s="28" t="n">
        <v>0.07</v>
      </c>
      <c r="C10" s="5" t="s">
        <v>403</v>
      </c>
    </row>
    <row r="11" customFormat="false" ht="15" hidden="false" customHeight="false" outlineLevel="0" collapsed="false">
      <c r="A11" s="5" t="s">
        <v>404</v>
      </c>
      <c r="B11" s="27" t="n">
        <v>4.4</v>
      </c>
      <c r="C11" s="5" t="s">
        <v>405</v>
      </c>
    </row>
    <row r="12" customFormat="false" ht="15" hidden="false" customHeight="false" outlineLevel="0" collapsed="false">
      <c r="A12" s="5" t="s">
        <v>406</v>
      </c>
      <c r="B12" s="27" t="n">
        <v>41</v>
      </c>
      <c r="C12" s="5" t="s">
        <v>407</v>
      </c>
    </row>
    <row r="13" customFormat="false" ht="15" hidden="false" customHeight="false" outlineLevel="0" collapsed="false">
      <c r="A13" s="5" t="s">
        <v>408</v>
      </c>
      <c r="B13" s="28" t="n">
        <v>0.11</v>
      </c>
      <c r="C13" s="5" t="s">
        <v>407</v>
      </c>
    </row>
    <row r="14" customFormat="false" ht="15" hidden="false" customHeight="false" outlineLevel="0" collapsed="false">
      <c r="A14" s="5" t="s">
        <v>409</v>
      </c>
      <c r="B14" s="27" t="n">
        <v>4.1</v>
      </c>
      <c r="C14" s="5" t="s">
        <v>410</v>
      </c>
    </row>
    <row r="17" customFormat="false" ht="15" hidden="false" customHeight="false" outlineLevel="0" collapsed="false">
      <c r="A17" s="29" t="s">
        <v>411</v>
      </c>
    </row>
    <row r="18" customFormat="false" ht="15" hidden="false" customHeight="false" outlineLevel="0" collapsed="false">
      <c r="A18" s="23" t="s">
        <v>412</v>
      </c>
    </row>
    <row r="19" customFormat="false" ht="15" hidden="false" customHeight="false" outlineLevel="0" collapsed="false">
      <c r="A19" s="23" t="s">
        <v>413</v>
      </c>
    </row>
    <row r="20" customFormat="false" ht="15" hidden="false" customHeight="false" outlineLevel="0" collapsed="false">
      <c r="A20" s="23" t="s">
        <v>414</v>
      </c>
    </row>
    <row r="21" customFormat="false" ht="15" hidden="false" customHeight="false" outlineLevel="0" collapsed="false">
      <c r="A21" s="23" t="s">
        <v>415</v>
      </c>
    </row>
    <row r="22" customFormat="false" ht="15" hidden="false" customHeight="false" outlineLevel="0" collapsed="false">
      <c r="A22" s="23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2026-10-13T10:03:19Z</dcterms:created>
  <dc:creator>openpyxl</dc:creator>
  <dc:description/>
  <dc:language>en-US</dc:language>
  <cp:lastModifiedBy/>
  <dcterms:modified xsi:type="dcterms:W3CDTF">2026-10-13T10:03:22Z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